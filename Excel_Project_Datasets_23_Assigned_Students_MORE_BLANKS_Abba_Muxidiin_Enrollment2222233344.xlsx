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slicers/slicer6.xml" ContentType="application/vnd.ms-excel.slicer+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9.xml" ContentType="application/vnd.openxmlformats-officedocument.drawing+xml"/>
  <Override PartName="/xl/slicers/slicer7.xml" ContentType="application/vnd.ms-excel.slicer+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1.xml" ContentType="application/vnd.openxmlformats-officedocument.spreadsheetml.pivotTable+xml"/>
  <Override PartName="/xl/drawings/drawing10.xml" ContentType="application/vnd.openxmlformats-officedocument.drawing+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2.xml" ContentType="application/vnd.openxmlformats-officedocument.spreadsheetml.pivotTable+xml"/>
  <Override PartName="/xl/drawings/drawing11.xml" ContentType="application/vnd.openxmlformats-officedocument.drawing+xml"/>
  <Override PartName="/xl/slicers/slicer8.xml" ContentType="application/vnd.ms-excel.slicer+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p\Desktop\"/>
    </mc:Choice>
  </mc:AlternateContent>
  <xr:revisionPtr revIDLastSave="0" documentId="8_{0931FC25-AE78-4BBC-AC45-CE0E57806FF0}" xr6:coauthVersionLast="47" xr6:coauthVersionMax="47" xr10:uidLastSave="{00000000-0000-0000-0000-000000000000}"/>
  <bookViews>
    <workbookView xWindow="19090" yWindow="-110" windowWidth="38620" windowHeight="21100" firstSheet="6" activeTab="12" xr2:uid="{00000000-000D-0000-FFFF-FFFF00000000}"/>
  </bookViews>
  <sheets>
    <sheet name="Project_Index" sheetId="1" r:id="rId1"/>
    <sheet name="Dashboard" sheetId="34" r:id="rId2"/>
    <sheet name="PivotGender" sheetId="44" r:id="rId3"/>
    <sheet name="PivotProgram" sheetId="45" r:id="rId4"/>
    <sheet name="PivotEnrollment_status" sheetId="46" r:id="rId5"/>
    <sheet name="PivotTuitionByProgram" sheetId="47" r:id="rId6"/>
    <sheet name="PivotStady_mode" sheetId="48" r:id="rId7"/>
    <sheet name="PivotEnrollment_date" sheetId="60" r:id="rId8"/>
    <sheet name="PivotErollment_status" sheetId="63" r:id="rId9"/>
    <sheet name="Sheet22" sheetId="64" r:id="rId10"/>
    <sheet name="PivotTuitionByStudy_mode" sheetId="68" r:id="rId11"/>
    <sheet name="Sheet29" sheetId="71" r:id="rId12"/>
    <sheet name="DASHBOARD2" sheetId="72" r:id="rId13"/>
    <sheet name="Sheet31" sheetId="73" r:id="rId14"/>
    <sheet name="Study_mode" sheetId="74" r:id="rId15"/>
    <sheet name="Avaregetuition" sheetId="75" r:id="rId16"/>
    <sheet name="Data_clean" sheetId="43" r:id="rId17"/>
    <sheet name="Enrollment_Row" sheetId="2" r:id="rId18"/>
    <sheet name="Analaysi_data" sheetId="40" r:id="rId19"/>
  </sheets>
  <definedNames>
    <definedName name="_xlcn.WorksheetConnection_Excel_Project_Datasets_23_Assigned_Students_MORE_BLANKS_Abba_Muxidiin_Enrollment22222333.xlsxTable11" hidden="1">Table1[]</definedName>
    <definedName name="Slicer_Clean_Enrollment_Date">#N/A</definedName>
    <definedName name="Slicer_Enrollment_Date">#N/A</definedName>
    <definedName name="Slicer_Enrollment_Date1">#N/A</definedName>
    <definedName name="Slicer_Enrollment_Status">#N/A</definedName>
    <definedName name="Slicer_Enrollment_Status2">#N/A</definedName>
    <definedName name="Slicer_Gender">#N/A</definedName>
    <definedName name="Slicer_Gender2">#N/A</definedName>
    <definedName name="Slicer_Program2">#N/A</definedName>
    <definedName name="Slicer_Program4">#N/A</definedName>
    <definedName name="Slicer_Study_Mode1">#N/A</definedName>
    <definedName name="Slicer_Study_Mode2">#N/A</definedName>
  </definedNames>
  <calcPr calcId="191029"/>
  <pivotCaches>
    <pivotCache cacheId="245" r:id="rId20"/>
    <pivotCache cacheId="263" r:id="rId21"/>
    <pivotCache cacheId="261" r:id="rId22"/>
  </pivotCaches>
  <extLst>
    <ext xmlns:x14="http://schemas.microsoft.com/office/spreadsheetml/2009/9/main" uri="{876F7934-8845-4945-9796-88D515C7AA90}">
      <x14:pivotCaches>
        <pivotCache cacheId="0" r:id="rId23"/>
        <pivotCache cacheId="234" r:id="rId24"/>
      </x14:pivotCaches>
    </ext>
    <ext xmlns:x14="http://schemas.microsoft.com/office/spreadsheetml/2009/9/main" uri="{BBE1A952-AA13-448e-AADC-164F8A28A991}">
      <x14:slicerCaches>
        <x14:slicerCache r:id="rId25"/>
        <x14:slicerCache r:id="rId26"/>
        <x14:slicerCache r:id="rId27"/>
        <x14:slicerCache r:id="rId28"/>
        <x14:slicerCache r:id="rId29"/>
        <x14:slicerCache r:id="rId30"/>
        <x14:slicerCache r:id="rId31"/>
        <x14:slicerCache r:id="rId32"/>
        <x14:slicerCache r:id="rId33"/>
        <x14:slicerCache r:id="rId34"/>
        <x14:slicerCache r:id="rId3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Excel_Project_Datasets_23_Assigned_Students_MORE_BLANKS_Abba_Muxidiin_Enrollment22222333.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 i="43" l="1"/>
  <c r="J4" i="43"/>
  <c r="J5" i="43"/>
  <c r="J6" i="43"/>
  <c r="J7" i="43"/>
  <c r="J8" i="43"/>
  <c r="J9" i="43"/>
  <c r="J10" i="43"/>
  <c r="J11" i="43"/>
  <c r="J12" i="43"/>
  <c r="J13" i="43"/>
  <c r="J14" i="43"/>
  <c r="J15" i="43"/>
  <c r="J16" i="43"/>
  <c r="J17" i="43"/>
  <c r="J18" i="43"/>
  <c r="J19" i="43"/>
  <c r="J20" i="43"/>
  <c r="J21" i="43"/>
  <c r="J22" i="43"/>
  <c r="J23" i="43"/>
  <c r="J24" i="43"/>
  <c r="J25" i="43"/>
  <c r="J26" i="43"/>
  <c r="J27" i="43"/>
  <c r="J28" i="43"/>
  <c r="J29" i="43"/>
  <c r="J30" i="43"/>
  <c r="J31" i="43"/>
  <c r="J32" i="43"/>
  <c r="J33" i="43"/>
  <c r="J34" i="43"/>
  <c r="J35" i="43"/>
  <c r="J36" i="43"/>
  <c r="J37" i="43"/>
  <c r="J38" i="43"/>
  <c r="J39" i="43"/>
  <c r="J40" i="43"/>
  <c r="J41" i="43"/>
  <c r="J42" i="43"/>
  <c r="J43" i="43"/>
  <c r="J44" i="43"/>
  <c r="J45" i="43"/>
  <c r="J46" i="43"/>
  <c r="J47" i="43"/>
  <c r="J48" i="43"/>
  <c r="J49" i="43"/>
  <c r="J50" i="43"/>
  <c r="J51" i="43"/>
  <c r="J52" i="43"/>
  <c r="J53" i="43"/>
  <c r="J54" i="43"/>
  <c r="J55" i="43"/>
  <c r="J56" i="43"/>
  <c r="J57" i="43"/>
  <c r="J58" i="43"/>
  <c r="J59" i="43"/>
  <c r="J60" i="43"/>
  <c r="J61" i="43"/>
  <c r="J62" i="43"/>
  <c r="J63" i="43"/>
  <c r="J64" i="43"/>
  <c r="J65" i="43"/>
  <c r="J66" i="43"/>
  <c r="J67" i="43"/>
  <c r="J68" i="43"/>
  <c r="J69" i="43"/>
  <c r="J70" i="43"/>
  <c r="J71" i="43"/>
  <c r="J72" i="43"/>
  <c r="J73" i="43"/>
  <c r="J74" i="43"/>
  <c r="J75" i="43"/>
  <c r="J76" i="43"/>
  <c r="J77" i="43"/>
  <c r="J78" i="43"/>
  <c r="J79" i="43"/>
  <c r="J80" i="43"/>
  <c r="J81" i="43"/>
  <c r="J82" i="43"/>
  <c r="J83" i="43"/>
  <c r="J84" i="43"/>
  <c r="J85" i="43"/>
  <c r="J86" i="43"/>
  <c r="J87" i="43"/>
  <c r="J88" i="43"/>
  <c r="J89" i="43"/>
  <c r="J90" i="43"/>
  <c r="J91" i="43"/>
  <c r="J92" i="43"/>
  <c r="J93" i="43"/>
  <c r="J94" i="43"/>
  <c r="J95" i="43"/>
  <c r="J96" i="43"/>
  <c r="J97" i="43"/>
  <c r="J98" i="43"/>
  <c r="J99" i="43"/>
  <c r="J100" i="43"/>
  <c r="J101" i="43"/>
  <c r="J102" i="43"/>
  <c r="J103" i="43"/>
  <c r="J104" i="43"/>
  <c r="J105" i="43"/>
  <c r="J106" i="43"/>
  <c r="J107" i="43"/>
  <c r="J108" i="43"/>
  <c r="J109" i="43"/>
  <c r="J110" i="43"/>
  <c r="J111" i="43"/>
  <c r="J112" i="43"/>
  <c r="J113" i="43"/>
  <c r="J114" i="43"/>
  <c r="J115" i="43"/>
  <c r="J116" i="43"/>
  <c r="J117" i="43"/>
  <c r="J118" i="43"/>
  <c r="J119" i="43"/>
  <c r="J120" i="43"/>
  <c r="J121" i="43"/>
  <c r="J122" i="43"/>
  <c r="J123" i="43"/>
  <c r="J124" i="43"/>
  <c r="J125" i="43"/>
  <c r="J126" i="43"/>
  <c r="J127" i="43"/>
  <c r="J128" i="43"/>
  <c r="J129" i="43"/>
  <c r="J130" i="43"/>
  <c r="J131" i="43"/>
  <c r="J132" i="43"/>
  <c r="J133" i="43"/>
  <c r="J134" i="43"/>
  <c r="J135" i="43"/>
  <c r="J136" i="43"/>
  <c r="J137" i="43"/>
  <c r="J138" i="43"/>
  <c r="J139" i="43"/>
  <c r="J140" i="43"/>
  <c r="J141" i="43"/>
  <c r="J142" i="43"/>
  <c r="J143" i="43"/>
  <c r="J144" i="43"/>
  <c r="J145" i="43"/>
  <c r="J146" i="43"/>
  <c r="J147" i="43"/>
  <c r="J148" i="43"/>
  <c r="J149" i="43"/>
  <c r="J150" i="43"/>
  <c r="J151" i="43"/>
  <c r="J152" i="43"/>
  <c r="J153" i="43"/>
  <c r="J154" i="43"/>
  <c r="J155" i="43"/>
  <c r="J156" i="43"/>
  <c r="J157" i="43"/>
  <c r="J158" i="43"/>
  <c r="J159" i="43"/>
  <c r="J160" i="43"/>
  <c r="J161" i="43"/>
  <c r="J162" i="43"/>
  <c r="J163" i="43"/>
  <c r="J164" i="43"/>
  <c r="J165" i="43"/>
  <c r="J166" i="43"/>
  <c r="J167" i="43"/>
  <c r="J168" i="43"/>
  <c r="J169" i="43"/>
  <c r="J170" i="43"/>
  <c r="J171" i="43"/>
  <c r="J172" i="43"/>
  <c r="J173" i="43"/>
  <c r="J174" i="43"/>
  <c r="J175" i="43"/>
  <c r="J176" i="43"/>
  <c r="J177" i="43"/>
  <c r="J178" i="43"/>
  <c r="J179" i="43"/>
  <c r="J180" i="43"/>
  <c r="J181" i="43"/>
  <c r="J182" i="43"/>
  <c r="J183" i="43"/>
  <c r="J184" i="43"/>
  <c r="J185" i="43"/>
  <c r="J186" i="43"/>
  <c r="J187" i="43"/>
  <c r="J188" i="43"/>
  <c r="J189" i="43"/>
  <c r="J190" i="43"/>
  <c r="J191" i="43"/>
  <c r="J192" i="43"/>
  <c r="J193" i="43"/>
  <c r="J194" i="43"/>
  <c r="J195" i="43"/>
  <c r="J196" i="43"/>
  <c r="J197" i="43"/>
  <c r="J198" i="43"/>
  <c r="J199" i="43"/>
  <c r="J200" i="43"/>
  <c r="J201" i="43"/>
  <c r="J202" i="43"/>
  <c r="J203" i="43"/>
  <c r="J204" i="43"/>
  <c r="J205" i="43"/>
  <c r="J206" i="43"/>
  <c r="J207" i="43"/>
  <c r="J208" i="43"/>
  <c r="J209" i="43"/>
  <c r="J210" i="43"/>
  <c r="J211" i="43"/>
  <c r="J212" i="43"/>
  <c r="J213" i="43"/>
  <c r="J214" i="43"/>
  <c r="J215" i="43"/>
  <c r="J216" i="43"/>
  <c r="J217" i="43"/>
  <c r="J218" i="43"/>
  <c r="J219" i="43"/>
  <c r="J220" i="43"/>
  <c r="J221" i="43"/>
  <c r="J222" i="43"/>
  <c r="J223" i="43"/>
  <c r="J224" i="43"/>
  <c r="J225" i="43"/>
  <c r="J226" i="43"/>
  <c r="J227" i="43"/>
  <c r="J228" i="43"/>
  <c r="J229" i="43"/>
  <c r="J230" i="43"/>
  <c r="J231" i="43"/>
  <c r="J232" i="43"/>
  <c r="J233" i="43"/>
  <c r="J234" i="43"/>
  <c r="J235" i="43"/>
  <c r="J236" i="43"/>
  <c r="J237" i="43"/>
  <c r="J238" i="43"/>
  <c r="J239" i="43"/>
  <c r="J240" i="43"/>
  <c r="J241" i="43"/>
  <c r="J242" i="43"/>
  <c r="J243" i="43"/>
  <c r="J244" i="43"/>
  <c r="J245" i="43"/>
  <c r="J246" i="43"/>
  <c r="J247" i="43"/>
  <c r="J248" i="43"/>
  <c r="J249" i="43"/>
  <c r="J250" i="43"/>
  <c r="J251" i="43"/>
  <c r="J252" i="43"/>
  <c r="J253" i="43"/>
  <c r="J254" i="43"/>
  <c r="J255" i="43"/>
  <c r="J256" i="43"/>
  <c r="J257" i="43"/>
  <c r="J258" i="43"/>
  <c r="J259" i="43"/>
  <c r="J260" i="43"/>
  <c r="J261" i="43"/>
  <c r="J262" i="43"/>
  <c r="J263" i="43"/>
  <c r="J264" i="43"/>
  <c r="J265" i="43"/>
  <c r="J266" i="43"/>
  <c r="J267" i="43"/>
  <c r="J268" i="43"/>
  <c r="J269" i="43"/>
  <c r="J270" i="43"/>
  <c r="J271" i="43"/>
  <c r="J272" i="43"/>
  <c r="J273" i="43"/>
  <c r="J274" i="43"/>
  <c r="J275" i="43"/>
  <c r="J276" i="43"/>
  <c r="J277" i="43"/>
  <c r="J278" i="43"/>
  <c r="J279" i="43"/>
  <c r="J280" i="43"/>
  <c r="J281" i="43"/>
  <c r="J282" i="43"/>
  <c r="J283" i="43"/>
  <c r="J284" i="43"/>
  <c r="J285" i="43"/>
  <c r="J286" i="43"/>
  <c r="J287" i="43"/>
  <c r="J288" i="43"/>
  <c r="J289" i="43"/>
  <c r="J290" i="43"/>
  <c r="J291" i="43"/>
  <c r="J292" i="43"/>
  <c r="J293" i="43"/>
  <c r="J294" i="43"/>
  <c r="J295" i="43"/>
  <c r="J296" i="43"/>
  <c r="J297" i="43"/>
  <c r="J298" i="43"/>
  <c r="J299" i="43"/>
  <c r="J300" i="43"/>
  <c r="J301" i="43"/>
  <c r="J2" i="43"/>
  <c r="I2" i="43"/>
  <c r="I3" i="43"/>
  <c r="I4" i="43"/>
  <c r="I5" i="43"/>
  <c r="I6" i="43"/>
  <c r="I7" i="43"/>
  <c r="I8" i="43"/>
  <c r="I9" i="43"/>
  <c r="I10" i="43"/>
  <c r="I11" i="43"/>
  <c r="I12" i="43"/>
  <c r="I13" i="43"/>
  <c r="I14" i="43"/>
  <c r="I15" i="43"/>
  <c r="I16" i="43"/>
  <c r="I17" i="43"/>
  <c r="I18" i="43"/>
  <c r="I19" i="43"/>
  <c r="I20" i="43"/>
  <c r="I21" i="43"/>
  <c r="I22" i="43"/>
  <c r="I23" i="43"/>
  <c r="I24" i="43"/>
  <c r="I25" i="43"/>
  <c r="I26" i="43"/>
  <c r="I27" i="43"/>
  <c r="I28" i="43"/>
  <c r="I29" i="43"/>
  <c r="I30" i="43"/>
  <c r="I31" i="43"/>
  <c r="I32" i="43"/>
  <c r="I33" i="43"/>
  <c r="I34" i="43"/>
  <c r="I35" i="43"/>
  <c r="I36" i="43"/>
  <c r="I37" i="43"/>
  <c r="I38" i="43"/>
  <c r="I39" i="43"/>
  <c r="I40" i="43"/>
  <c r="I41" i="43"/>
  <c r="I42" i="43"/>
  <c r="I43" i="43"/>
  <c r="I44" i="43"/>
  <c r="I45" i="43"/>
  <c r="I46" i="43"/>
  <c r="I47" i="43"/>
  <c r="I48" i="43"/>
  <c r="I49" i="43"/>
  <c r="I50" i="43"/>
  <c r="I51" i="43"/>
  <c r="I52" i="43"/>
  <c r="I53" i="43"/>
  <c r="I54" i="43"/>
  <c r="I55" i="43"/>
  <c r="I56" i="43"/>
  <c r="I57" i="43"/>
  <c r="I58" i="43"/>
  <c r="I59" i="43"/>
  <c r="I60" i="43"/>
  <c r="I61" i="43"/>
  <c r="I62" i="43"/>
  <c r="I63" i="43"/>
  <c r="I64" i="43"/>
  <c r="I65" i="43"/>
  <c r="I66" i="43"/>
  <c r="I67" i="43"/>
  <c r="I68" i="43"/>
  <c r="I69" i="43"/>
  <c r="I70" i="43"/>
  <c r="I71" i="43"/>
  <c r="I72" i="43"/>
  <c r="I73" i="43"/>
  <c r="I74" i="43"/>
  <c r="I75" i="43"/>
  <c r="I76" i="43"/>
  <c r="I77" i="43"/>
  <c r="I78" i="43"/>
  <c r="I79" i="43"/>
  <c r="I80" i="43"/>
  <c r="I81" i="43"/>
  <c r="I82" i="43"/>
  <c r="I83" i="43"/>
  <c r="I84" i="43"/>
  <c r="I85" i="43"/>
  <c r="I86" i="43"/>
  <c r="I87" i="43"/>
  <c r="I88" i="43"/>
  <c r="I89" i="43"/>
  <c r="I90" i="43"/>
  <c r="I91" i="43"/>
  <c r="I92" i="43"/>
  <c r="I93" i="43"/>
  <c r="I94" i="43"/>
  <c r="I95" i="43"/>
  <c r="I96" i="43"/>
  <c r="I97" i="43"/>
  <c r="I98" i="43"/>
  <c r="I99" i="43"/>
  <c r="I100" i="43"/>
  <c r="I101" i="43"/>
  <c r="I102" i="43"/>
  <c r="I103" i="43"/>
  <c r="I104" i="43"/>
  <c r="I105" i="43"/>
  <c r="I106" i="43"/>
  <c r="I107" i="43"/>
  <c r="I108" i="43"/>
  <c r="I109" i="43"/>
  <c r="I110" i="43"/>
  <c r="I111" i="43"/>
  <c r="I112" i="43"/>
  <c r="I113" i="43"/>
  <c r="I114" i="43"/>
  <c r="I115" i="43"/>
  <c r="I116" i="43"/>
  <c r="I117" i="43"/>
  <c r="I118" i="43"/>
  <c r="I119" i="43"/>
  <c r="I120" i="43"/>
  <c r="I121" i="43"/>
  <c r="I122" i="43"/>
  <c r="I123" i="43"/>
  <c r="I124" i="43"/>
  <c r="I125" i="43"/>
  <c r="I126" i="43"/>
  <c r="I127" i="43"/>
  <c r="I128" i="43"/>
  <c r="I129" i="43"/>
  <c r="I130" i="43"/>
  <c r="I131" i="43"/>
  <c r="I132" i="43"/>
  <c r="I133" i="43"/>
  <c r="I134" i="43"/>
  <c r="I135" i="43"/>
  <c r="I136" i="43"/>
  <c r="I137" i="43"/>
  <c r="I138" i="43"/>
  <c r="I139" i="43"/>
  <c r="I140" i="43"/>
  <c r="I141" i="43"/>
  <c r="I142" i="43"/>
  <c r="I143" i="43"/>
  <c r="I144" i="43"/>
  <c r="I145" i="43"/>
  <c r="I146" i="43"/>
  <c r="I147" i="43"/>
  <c r="I148" i="43"/>
  <c r="I149" i="43"/>
  <c r="I150" i="43"/>
  <c r="I151" i="43"/>
  <c r="I152" i="43"/>
  <c r="I153" i="43"/>
  <c r="I154" i="43"/>
  <c r="I155" i="43"/>
  <c r="I156" i="43"/>
  <c r="I157" i="43"/>
  <c r="I158" i="43"/>
  <c r="I159" i="43"/>
  <c r="I160" i="43"/>
  <c r="I161" i="43"/>
  <c r="I162" i="43"/>
  <c r="I163" i="43"/>
  <c r="I164" i="43"/>
  <c r="I165" i="43"/>
  <c r="I166" i="43"/>
  <c r="I167" i="43"/>
  <c r="I168" i="43"/>
  <c r="I169" i="43"/>
  <c r="I170" i="43"/>
  <c r="I171" i="43"/>
  <c r="I172" i="43"/>
  <c r="I173" i="43"/>
  <c r="I174" i="43"/>
  <c r="I175" i="43"/>
  <c r="I176" i="43"/>
  <c r="I177" i="43"/>
  <c r="I178" i="43"/>
  <c r="I179" i="43"/>
  <c r="I180" i="43"/>
  <c r="I181" i="43"/>
  <c r="I182" i="43"/>
  <c r="I183" i="43"/>
  <c r="I184" i="43"/>
  <c r="I185" i="43"/>
  <c r="I186" i="43"/>
  <c r="I187" i="43"/>
  <c r="I188" i="43"/>
  <c r="I189" i="43"/>
  <c r="I190" i="43"/>
  <c r="I191" i="43"/>
  <c r="I192" i="43"/>
  <c r="I193" i="43"/>
  <c r="I194" i="43"/>
  <c r="I195" i="43"/>
  <c r="I196" i="43"/>
  <c r="I197" i="43"/>
  <c r="I198" i="43"/>
  <c r="I199" i="43"/>
  <c r="I200" i="43"/>
  <c r="I201" i="43"/>
  <c r="I202" i="43"/>
  <c r="I203" i="43"/>
  <c r="I204" i="43"/>
  <c r="I205" i="43"/>
  <c r="I206" i="43"/>
  <c r="I207" i="43"/>
  <c r="I208" i="43"/>
  <c r="I209" i="43"/>
  <c r="I210" i="43"/>
  <c r="I211" i="43"/>
  <c r="I212" i="43"/>
  <c r="I213" i="43"/>
  <c r="I214" i="43"/>
  <c r="I215" i="43"/>
  <c r="I216" i="43"/>
  <c r="I217" i="43"/>
  <c r="I218" i="43"/>
  <c r="I219" i="43"/>
  <c r="I220" i="43"/>
  <c r="I221" i="43"/>
  <c r="I222" i="43"/>
  <c r="I223" i="43"/>
  <c r="I224" i="43"/>
  <c r="I225" i="43"/>
  <c r="I226" i="43"/>
  <c r="I227" i="43"/>
  <c r="I228" i="43"/>
  <c r="I229" i="43"/>
  <c r="I230" i="43"/>
  <c r="I231" i="43"/>
  <c r="I232" i="43"/>
  <c r="I233" i="43"/>
  <c r="I234" i="43"/>
  <c r="I235" i="43"/>
  <c r="I236" i="43"/>
  <c r="I237" i="43"/>
  <c r="I238" i="43"/>
  <c r="I239" i="43"/>
  <c r="I240" i="43"/>
  <c r="I241" i="43"/>
  <c r="I242" i="43"/>
  <c r="I243" i="43"/>
  <c r="I244" i="43"/>
  <c r="I245" i="43"/>
  <c r="I246" i="43"/>
  <c r="I247" i="43"/>
  <c r="I248" i="43"/>
  <c r="I249" i="43"/>
  <c r="I250" i="43"/>
  <c r="I251" i="43"/>
  <c r="I252" i="43"/>
  <c r="I253" i="43"/>
  <c r="I254" i="43"/>
  <c r="I255" i="43"/>
  <c r="I256" i="43"/>
  <c r="I257" i="43"/>
  <c r="I258" i="43"/>
  <c r="I259" i="43"/>
  <c r="I260" i="43"/>
  <c r="I261" i="43"/>
  <c r="I262" i="43"/>
  <c r="I263" i="43"/>
  <c r="I264" i="43"/>
  <c r="I265" i="43"/>
  <c r="I266" i="43"/>
  <c r="I267" i="43"/>
  <c r="I268" i="43"/>
  <c r="I269" i="43"/>
  <c r="I270" i="43"/>
  <c r="I271" i="43"/>
  <c r="I272" i="43"/>
  <c r="I273" i="43"/>
  <c r="I274" i="43"/>
  <c r="I275" i="43"/>
  <c r="I276" i="43"/>
  <c r="I277" i="43"/>
  <c r="I278" i="43"/>
  <c r="I279" i="43"/>
  <c r="I280" i="43"/>
  <c r="I281" i="43"/>
  <c r="I282" i="43"/>
  <c r="I283" i="43"/>
  <c r="I284" i="43"/>
  <c r="I285" i="43"/>
  <c r="I286" i="43"/>
  <c r="I287" i="43"/>
  <c r="I288" i="43"/>
  <c r="I289" i="43"/>
  <c r="I290" i="43"/>
  <c r="I291" i="43"/>
  <c r="I292" i="43"/>
  <c r="I293" i="43"/>
  <c r="I294" i="43"/>
  <c r="I295" i="43"/>
  <c r="I296" i="43"/>
  <c r="I297" i="43"/>
  <c r="I298" i="43"/>
  <c r="I299" i="43"/>
  <c r="I300" i="43"/>
  <c r="I301" i="43"/>
  <c r="H2" i="43"/>
  <c r="H3" i="43"/>
  <c r="H4" i="43"/>
  <c r="H5" i="43"/>
  <c r="H6" i="43"/>
  <c r="H7" i="43"/>
  <c r="H8" i="43"/>
  <c r="H9" i="43"/>
  <c r="H10" i="43"/>
  <c r="H11" i="43"/>
  <c r="H12" i="43"/>
  <c r="H13" i="43"/>
  <c r="H14" i="43"/>
  <c r="H15" i="43"/>
  <c r="H16" i="43"/>
  <c r="H17" i="43"/>
  <c r="H18" i="43"/>
  <c r="H19" i="43"/>
  <c r="H20" i="43"/>
  <c r="H21" i="43"/>
  <c r="H22" i="43"/>
  <c r="H23" i="43"/>
  <c r="H24" i="43"/>
  <c r="H25" i="43"/>
  <c r="H26" i="43"/>
  <c r="H27" i="43"/>
  <c r="H28" i="43"/>
  <c r="H29" i="43"/>
  <c r="H30" i="43"/>
  <c r="H31" i="43"/>
  <c r="H32" i="43"/>
  <c r="H33" i="43"/>
  <c r="H34" i="43"/>
  <c r="H35" i="43"/>
  <c r="H36" i="43"/>
  <c r="H37" i="43"/>
  <c r="H38" i="43"/>
  <c r="H39" i="43"/>
  <c r="H40" i="43"/>
  <c r="H41" i="43"/>
  <c r="H42" i="43"/>
  <c r="H43" i="43"/>
  <c r="H44" i="43"/>
  <c r="H45" i="43"/>
  <c r="H46" i="43"/>
  <c r="H47" i="43"/>
  <c r="H48" i="43"/>
  <c r="H49" i="43"/>
  <c r="H50" i="43"/>
  <c r="H51" i="43"/>
  <c r="H52" i="43"/>
  <c r="H53" i="43"/>
  <c r="H54" i="43"/>
  <c r="H55" i="43"/>
  <c r="H56" i="43"/>
  <c r="H57" i="43"/>
  <c r="H58" i="43"/>
  <c r="H59" i="43"/>
  <c r="H60" i="43"/>
  <c r="H61" i="43"/>
  <c r="H62" i="43"/>
  <c r="H63" i="43"/>
  <c r="H64" i="43"/>
  <c r="H65" i="43"/>
  <c r="H66" i="43"/>
  <c r="H67" i="43"/>
  <c r="H68" i="43"/>
  <c r="H69" i="43"/>
  <c r="H70" i="43"/>
  <c r="H71" i="43"/>
  <c r="H72" i="43"/>
  <c r="H73" i="43"/>
  <c r="H74" i="43"/>
  <c r="H75" i="43"/>
  <c r="H76" i="43"/>
  <c r="H77" i="43"/>
  <c r="H78" i="43"/>
  <c r="H79" i="43"/>
  <c r="H80" i="43"/>
  <c r="H81" i="43"/>
  <c r="H82" i="43"/>
  <c r="H83" i="43"/>
  <c r="H84" i="43"/>
  <c r="H85" i="43"/>
  <c r="H86" i="43"/>
  <c r="H87" i="43"/>
  <c r="H88" i="43"/>
  <c r="H89" i="43"/>
  <c r="H90" i="43"/>
  <c r="H91" i="43"/>
  <c r="H92" i="43"/>
  <c r="H93" i="43"/>
  <c r="H94" i="43"/>
  <c r="H95" i="43"/>
  <c r="H96" i="43"/>
  <c r="H97" i="43"/>
  <c r="H98" i="43"/>
  <c r="H99" i="43"/>
  <c r="H100" i="43"/>
  <c r="H101" i="43"/>
  <c r="H102" i="43"/>
  <c r="H103" i="43"/>
  <c r="H104" i="43"/>
  <c r="H105" i="43"/>
  <c r="H106" i="43"/>
  <c r="H107" i="43"/>
  <c r="H108" i="43"/>
  <c r="H109" i="43"/>
  <c r="H110" i="43"/>
  <c r="H111" i="43"/>
  <c r="H112" i="43"/>
  <c r="H113" i="43"/>
  <c r="H114" i="43"/>
  <c r="H115" i="43"/>
  <c r="H116" i="43"/>
  <c r="H117" i="43"/>
  <c r="H118" i="43"/>
  <c r="H119" i="43"/>
  <c r="H120" i="43"/>
  <c r="H121" i="43"/>
  <c r="H122" i="43"/>
  <c r="H123" i="43"/>
  <c r="H124" i="43"/>
  <c r="H125" i="43"/>
  <c r="H126" i="43"/>
  <c r="H127" i="43"/>
  <c r="H128" i="43"/>
  <c r="H129" i="43"/>
  <c r="H130" i="43"/>
  <c r="H131" i="43"/>
  <c r="H132" i="43"/>
  <c r="H133" i="43"/>
  <c r="H134" i="43"/>
  <c r="H135" i="43"/>
  <c r="H136" i="43"/>
  <c r="H137" i="43"/>
  <c r="H138" i="43"/>
  <c r="H139" i="43"/>
  <c r="H140" i="43"/>
  <c r="H141" i="43"/>
  <c r="H142" i="43"/>
  <c r="H143" i="43"/>
  <c r="H144" i="43"/>
  <c r="H145" i="43"/>
  <c r="H146" i="43"/>
  <c r="H147" i="43"/>
  <c r="H148" i="43"/>
  <c r="H149" i="43"/>
  <c r="H150" i="43"/>
  <c r="H151" i="43"/>
  <c r="H152" i="43"/>
  <c r="H153" i="43"/>
  <c r="H154" i="43"/>
  <c r="H155" i="43"/>
  <c r="H156" i="43"/>
  <c r="H157" i="43"/>
  <c r="H158" i="43"/>
  <c r="H159" i="43"/>
  <c r="H160" i="43"/>
  <c r="H161" i="43"/>
  <c r="H162" i="43"/>
  <c r="H163" i="43"/>
  <c r="H164" i="43"/>
  <c r="H165" i="43"/>
  <c r="H166" i="43"/>
  <c r="H167" i="43"/>
  <c r="H168" i="43"/>
  <c r="H169" i="43"/>
  <c r="H170" i="43"/>
  <c r="H171" i="43"/>
  <c r="H172" i="43"/>
  <c r="H173" i="43"/>
  <c r="H174" i="43"/>
  <c r="H175" i="43"/>
  <c r="H176" i="43"/>
  <c r="H177" i="43"/>
  <c r="H178" i="43"/>
  <c r="H179" i="43"/>
  <c r="H180" i="43"/>
  <c r="H181" i="43"/>
  <c r="H182" i="43"/>
  <c r="H183" i="43"/>
  <c r="H184" i="43"/>
  <c r="H185" i="43"/>
  <c r="H186" i="43"/>
  <c r="H187" i="43"/>
  <c r="H188" i="43"/>
  <c r="H189" i="43"/>
  <c r="H190" i="43"/>
  <c r="H191" i="43"/>
  <c r="H192" i="43"/>
  <c r="H193" i="43"/>
  <c r="H194" i="43"/>
  <c r="H195" i="43"/>
  <c r="H196" i="43"/>
  <c r="H197" i="43"/>
  <c r="H198" i="43"/>
  <c r="H199" i="43"/>
  <c r="H200" i="43"/>
  <c r="H201" i="43"/>
  <c r="H202" i="43"/>
  <c r="H203" i="43"/>
  <c r="H204" i="43"/>
  <c r="H205" i="43"/>
  <c r="H206" i="43"/>
  <c r="H207" i="43"/>
  <c r="H208" i="43"/>
  <c r="H209" i="43"/>
  <c r="H210" i="43"/>
  <c r="H211" i="43"/>
  <c r="H212" i="43"/>
  <c r="H213" i="43"/>
  <c r="H214" i="43"/>
  <c r="H215" i="43"/>
  <c r="H216" i="43"/>
  <c r="H217" i="43"/>
  <c r="H218" i="43"/>
  <c r="H219" i="43"/>
  <c r="H220" i="43"/>
  <c r="H221" i="43"/>
  <c r="H222" i="43"/>
  <c r="H223" i="43"/>
  <c r="H224" i="43"/>
  <c r="H225" i="43"/>
  <c r="H226" i="43"/>
  <c r="H227" i="43"/>
  <c r="H228" i="43"/>
  <c r="H229" i="43"/>
  <c r="H230" i="43"/>
  <c r="H231" i="43"/>
  <c r="H232" i="43"/>
  <c r="H233" i="43"/>
  <c r="H234" i="43"/>
  <c r="H235" i="43"/>
  <c r="H236" i="43"/>
  <c r="H237" i="43"/>
  <c r="H238" i="43"/>
  <c r="H239" i="43"/>
  <c r="H240" i="43"/>
  <c r="H241" i="43"/>
  <c r="H242" i="43"/>
  <c r="H243" i="43"/>
  <c r="H244" i="43"/>
  <c r="H245" i="43"/>
  <c r="H246" i="43"/>
  <c r="H247" i="43"/>
  <c r="H248" i="43"/>
  <c r="H249" i="43"/>
  <c r="H250" i="43"/>
  <c r="H251" i="43"/>
  <c r="H252" i="43"/>
  <c r="H253" i="43"/>
  <c r="H254" i="43"/>
  <c r="H255" i="43"/>
  <c r="H256" i="43"/>
  <c r="H257" i="43"/>
  <c r="H258" i="43"/>
  <c r="H259" i="43"/>
  <c r="H260" i="43"/>
  <c r="H261" i="43"/>
  <c r="H262" i="43"/>
  <c r="H263" i="43"/>
  <c r="H264" i="43"/>
  <c r="H265" i="43"/>
  <c r="H266" i="43"/>
  <c r="H267" i="43"/>
  <c r="H268" i="43"/>
  <c r="H269" i="43"/>
  <c r="H270" i="43"/>
  <c r="H271" i="43"/>
  <c r="H272" i="43"/>
  <c r="H273" i="43"/>
  <c r="H274" i="43"/>
  <c r="H275" i="43"/>
  <c r="H276" i="43"/>
  <c r="H277" i="43"/>
  <c r="H278" i="43"/>
  <c r="H279" i="43"/>
  <c r="H280" i="43"/>
  <c r="H281" i="43"/>
  <c r="H282" i="43"/>
  <c r="H283" i="43"/>
  <c r="H284" i="43"/>
  <c r="H285" i="43"/>
  <c r="H286" i="43"/>
  <c r="H287" i="43"/>
  <c r="H288" i="43"/>
  <c r="H289" i="43"/>
  <c r="H290" i="43"/>
  <c r="H291" i="43"/>
  <c r="H292" i="43"/>
  <c r="H293" i="43"/>
  <c r="H294" i="43"/>
  <c r="H295" i="43"/>
  <c r="H296" i="43"/>
  <c r="H297" i="43"/>
  <c r="H298" i="43"/>
  <c r="H299" i="43"/>
  <c r="H300" i="43"/>
  <c r="H301" i="43"/>
  <c r="C73" i="40"/>
  <c r="C72" i="40"/>
  <c r="C71" i="40"/>
  <c r="C70" i="40"/>
  <c r="C69" i="40"/>
  <c r="C68" i="40"/>
  <c r="C67" i="40"/>
  <c r="I48" i="40"/>
  <c r="I54" i="40" s="1"/>
  <c r="C59" i="40"/>
  <c r="I53" i="40"/>
  <c r="I52" i="40"/>
  <c r="I51" i="40"/>
  <c r="I50" i="40"/>
  <c r="I49" i="40"/>
  <c r="C48" i="40"/>
  <c r="C58" i="40"/>
  <c r="C57" i="40"/>
  <c r="C56" i="40"/>
  <c r="C55" i="40"/>
  <c r="C54" i="40"/>
  <c r="C53" i="40"/>
  <c r="C52" i="40"/>
  <c r="C51" i="40"/>
  <c r="C50" i="40"/>
  <c r="C49" i="40"/>
  <c r="C37" i="40"/>
  <c r="C41" i="40"/>
  <c r="C40" i="40"/>
  <c r="C39" i="40"/>
  <c r="C38" i="40"/>
  <c r="I10" i="2"/>
  <c r="S30" i="40"/>
  <c r="S29" i="40"/>
  <c r="S28" i="40"/>
  <c r="S27" i="40"/>
  <c r="S26" i="40"/>
  <c r="S25" i="40"/>
  <c r="S24" i="40"/>
  <c r="N24" i="40"/>
  <c r="N30" i="40" s="1"/>
  <c r="I30" i="40"/>
  <c r="N29" i="40"/>
  <c r="N28" i="40"/>
  <c r="N27" i="40"/>
  <c r="N26" i="40"/>
  <c r="N25" i="40"/>
  <c r="I24" i="40"/>
  <c r="I33" i="40"/>
  <c r="I32" i="40"/>
  <c r="I31" i="40"/>
  <c r="I29" i="40"/>
  <c r="I28" i="40"/>
  <c r="I27" i="40"/>
  <c r="I26" i="40"/>
  <c r="I34" i="40"/>
  <c r="I25" i="40"/>
  <c r="C24" i="40"/>
  <c r="C29" i="40" s="1"/>
  <c r="C27" i="40"/>
  <c r="C26" i="40"/>
  <c r="C25" i="40"/>
  <c r="K11" i="40"/>
  <c r="K5" i="40"/>
  <c r="K6" i="40"/>
  <c r="K7" i="40"/>
  <c r="K8" i="40"/>
  <c r="K9" i="40"/>
  <c r="K10" i="40"/>
  <c r="K4" i="40"/>
  <c r="C9" i="40"/>
  <c r="C8" i="40"/>
  <c r="C7" i="40"/>
  <c r="C6" i="40"/>
  <c r="C10" i="40" s="1"/>
  <c r="C5" i="40"/>
  <c r="C4" i="40"/>
  <c r="C3" i="40"/>
  <c r="I17" i="34"/>
  <c r="B17" i="34"/>
  <c r="L12" i="34"/>
  <c r="I12" i="34"/>
  <c r="B12" i="34"/>
  <c r="E12" i="34"/>
  <c r="P10" i="72"/>
  <c r="M10" i="72"/>
  <c r="G10" i="72"/>
  <c r="J10" i="72"/>
  <c r="D10" i="72"/>
  <c r="I35" i="40"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4379AC-02A7-4DD9-8DB8-60F4A827E49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2855760-4EF6-4F45-97B4-FE777E98E0E0}" name="WorksheetConnection_Excel_Project_Datasets_23_Assigned_Students_MORE_BLANKS_Abba_Muxidiin_Enrollment22222333.xlsx!Table1" type="102" refreshedVersion="8" minRefreshableVersion="5">
    <extLst>
      <ext xmlns:x15="http://schemas.microsoft.com/office/spreadsheetml/2010/11/main" uri="{DE250136-89BD-433C-8126-D09CA5730AF9}">
        <x15:connection id="Table1" autoDelete="1">
          <x15:rangePr sourceName="_xlcn.WorksheetConnection_Excel_Project_Datasets_23_Assigned_Students_MORE_BLANKS_Abba_Muxidiin_Enrollment22222333.xlsxTable11"/>
        </x15:connection>
      </ext>
    </extLst>
  </connection>
</connections>
</file>

<file path=xl/sharedStrings.xml><?xml version="1.0" encoding="utf-8"?>
<sst xmlns="http://schemas.openxmlformats.org/spreadsheetml/2006/main" count="3299" uniqueCount="482">
  <si>
    <t>No.</t>
  </si>
  <si>
    <t>Student Name</t>
  </si>
  <si>
    <t>Project Title</t>
  </si>
  <si>
    <t>Dataset Sheet</t>
  </si>
  <si>
    <t>Rows</t>
  </si>
  <si>
    <t>Columns</t>
  </si>
  <si>
    <t>Status</t>
  </si>
  <si>
    <t>Data Quality Note</t>
  </si>
  <si>
    <t>Aba Muxudiin Ahmed</t>
  </si>
  <si>
    <t>Student Enrollment Data Analysis Using Excel</t>
  </si>
  <si>
    <t>01_Enrollment</t>
  </si>
  <si>
    <t>Ready</t>
  </si>
  <si>
    <t>Each project dataset now includes 15 additional empty cells in every one of its 7 columns for missing-value cleaning practice.</t>
  </si>
  <si>
    <t>Abdikarim Ismail Ali</t>
  </si>
  <si>
    <t>Customer Purchase &amp; Sales Performance Analysis Using Excel</t>
  </si>
  <si>
    <t>02_Sales</t>
  </si>
  <si>
    <t>Abdinajib Abdullahi Muse</t>
  </si>
  <si>
    <t>Employee Attendance Data Analysis Using Excel</t>
  </si>
  <si>
    <t>03_Emp_Attendance</t>
  </si>
  <si>
    <t>Aisha Mohamed Abdullahi</t>
  </si>
  <si>
    <t>Restaurant Sales and Customer Analysis Using Excel</t>
  </si>
  <si>
    <t>04_Restaurant</t>
  </si>
  <si>
    <t>Aniso Ahmed Mohamud</t>
  </si>
  <si>
    <t>TITLE NOT PROVIDED</t>
  </si>
  <si>
    <t>Project title needed</t>
  </si>
  <si>
    <t>Axmed Abduqadir Iman</t>
  </si>
  <si>
    <t>Electricity Consumption Data Analysis Using Excel</t>
  </si>
  <si>
    <t>06_Electricity</t>
  </si>
  <si>
    <t>Ayuub Abdullahi Isxaakh</t>
  </si>
  <si>
    <t>Hospital Patient Data Analysis Using Excel</t>
  </si>
  <si>
    <t>07_Hospital</t>
  </si>
  <si>
    <t>Cayni Abuukar Maxamuud</t>
  </si>
  <si>
    <t>Real Estate Property Data Analysis Using Excel</t>
  </si>
  <si>
    <t>08_Real_Estate</t>
  </si>
  <si>
    <t>Deqo Abdulkhadir Hussein</t>
  </si>
  <si>
    <t>Student Attendance and Academic Analysis</t>
  </si>
  <si>
    <t>09_Academic</t>
  </si>
  <si>
    <t>Faadumo Mahamed Yusuf</t>
  </si>
  <si>
    <t>Internet Usage Data Analysis</t>
  </si>
  <si>
    <t>10_Internet</t>
  </si>
  <si>
    <t>Fardowso Gamadiid Imaan</t>
  </si>
  <si>
    <t>Employee Salary Data Analysis Using Excel</t>
  </si>
  <si>
    <t>11_Salary</t>
  </si>
  <si>
    <t>Fartun Ali Maxamuud</t>
  </si>
  <si>
    <t>Fuel Consumption and Vehicle Analysis Using Excel</t>
  </si>
  <si>
    <t>12_Fuel</t>
  </si>
  <si>
    <t>Faysal Mohamed Dahir</t>
  </si>
  <si>
    <t>Customer Demographic Data Analysis</t>
  </si>
  <si>
    <t>13_Demographic</t>
  </si>
  <si>
    <t>Hawo Abdi Maxamed</t>
  </si>
  <si>
    <t>Weather and Temperature Data Analysis</t>
  </si>
  <si>
    <t>14_Weather</t>
  </si>
  <si>
    <t>Hudeifa Mohamud Ahmed</t>
  </si>
  <si>
    <t>Monthly Expense and Budget Analysis</t>
  </si>
  <si>
    <t>15_Budget</t>
  </si>
  <si>
    <t>Ibrahim Abdullahi Farhan</t>
  </si>
  <si>
    <t>Public Transportation Performance Analysis</t>
  </si>
  <si>
    <t>16_Transport</t>
  </si>
  <si>
    <t>Miski Mohamed Abdullahi</t>
  </si>
  <si>
    <t>Hotel Booking and Customer Analysis</t>
  </si>
  <si>
    <t>17_Hotel</t>
  </si>
  <si>
    <t>Muzamil Tahlil Dahir</t>
  </si>
  <si>
    <t>Inventory and Stock Analysis Using Excel</t>
  </si>
  <si>
    <t>18_Inventory</t>
  </si>
  <si>
    <t>Nasteha Ibraahim Hussien</t>
  </si>
  <si>
    <t>Airline Passenger &amp; Booking Data Analysis Using Excel</t>
  </si>
  <si>
    <t>19_Airline</t>
  </si>
  <si>
    <t>Nimca Abdiraxman Wehliye</t>
  </si>
  <si>
    <t>Marketing Campaign Data Analysis</t>
  </si>
  <si>
    <t>20_Marketing</t>
  </si>
  <si>
    <t>Omar Abdullahi Mohamed</t>
  </si>
  <si>
    <t>Bank Customer Data Analysis Using Excel</t>
  </si>
  <si>
    <t>21_Bank</t>
  </si>
  <si>
    <t>Ramla Abdi Osmaan</t>
  </si>
  <si>
    <t>Insurance Customer Data Analysis Using Excel</t>
  </si>
  <si>
    <t>22_Insurance</t>
  </si>
  <si>
    <t>Shukri idiris mahamed</t>
  </si>
  <si>
    <t>Crime Statistics Data Analysis</t>
  </si>
  <si>
    <t>23_Crime</t>
  </si>
  <si>
    <t>Sucdi Yasin Husein</t>
  </si>
  <si>
    <t>Job Recruitment and Applicant Data Analysis</t>
  </si>
  <si>
    <t>24_Recruitment</t>
  </si>
  <si>
    <t>Student_ID</t>
  </si>
  <si>
    <t>Gender</t>
  </si>
  <si>
    <t>Program</t>
  </si>
  <si>
    <t>Enrollment_Date</t>
  </si>
  <si>
    <t>Study_Mode</t>
  </si>
  <si>
    <t>Tuition_Fee</t>
  </si>
  <si>
    <t>Enrollment_Status</t>
  </si>
  <si>
    <t>ENR0123</t>
  </si>
  <si>
    <t>Female</t>
  </si>
  <si>
    <t>Computer Science</t>
  </si>
  <si>
    <t>Full-Time</t>
  </si>
  <si>
    <t>Graduated</t>
  </si>
  <si>
    <t>ENR0050</t>
  </si>
  <si>
    <t>Public Health</t>
  </si>
  <si>
    <t>ENR0241</t>
  </si>
  <si>
    <t>Business Administration</t>
  </si>
  <si>
    <t>ENR0279</t>
  </si>
  <si>
    <t>ENR0091</t>
  </si>
  <si>
    <t>Male</t>
  </si>
  <si>
    <t>Engineering</t>
  </si>
  <si>
    <t>Online</t>
  </si>
  <si>
    <t>ENR0166</t>
  </si>
  <si>
    <t>Withdrawn</t>
  </si>
  <si>
    <t>ENR0247</t>
  </si>
  <si>
    <t>ENR0093</t>
  </si>
  <si>
    <t>Active</t>
  </si>
  <si>
    <t>ENR0108</t>
  </si>
  <si>
    <t>ENR0106</t>
  </si>
  <si>
    <t>Economics</t>
  </si>
  <si>
    <t>ENR0036</t>
  </si>
  <si>
    <t>ENR0160</t>
  </si>
  <si>
    <t>-</t>
  </si>
  <si>
    <t>ENR0222</t>
  </si>
  <si>
    <t>Data Science</t>
  </si>
  <si>
    <t>Part-Time</t>
  </si>
  <si>
    <t>ACTIVE</t>
  </si>
  <si>
    <t>ENR0125</t>
  </si>
  <si>
    <t>ENR0290</t>
  </si>
  <si>
    <t>ENR0276</t>
  </si>
  <si>
    <t>ENR0260</t>
  </si>
  <si>
    <t>male</t>
  </si>
  <si>
    <t>ENR0105</t>
  </si>
  <si>
    <t>ENR0060</t>
  </si>
  <si>
    <t>ENR0042</t>
  </si>
  <si>
    <t>ENR0254</t>
  </si>
  <si>
    <t>ENR0256</t>
  </si>
  <si>
    <t>ENR0095</t>
  </si>
  <si>
    <t>ENR0285</t>
  </si>
  <si>
    <t>ENR0253</t>
  </si>
  <si>
    <t>ENR0235</t>
  </si>
  <si>
    <t>ENR0288</t>
  </si>
  <si>
    <t>ENR0031</t>
  </si>
  <si>
    <t>ENR0112</t>
  </si>
  <si>
    <t>ENR0243</t>
  </si>
  <si>
    <t>N/A</t>
  </si>
  <si>
    <t>ENR0019</t>
  </si>
  <si>
    <t>ENR0171</t>
  </si>
  <si>
    <t>ENR0215</t>
  </si>
  <si>
    <t>ENR0152</t>
  </si>
  <si>
    <t>ENR0165</t>
  </si>
  <si>
    <t>ENR0100</t>
  </si>
  <si>
    <t>ENR0139</t>
  </si>
  <si>
    <t>ENR0286</t>
  </si>
  <si>
    <t>ENR0124</t>
  </si>
  <si>
    <t>ENR0087</t>
  </si>
  <si>
    <t>ENR0057</t>
  </si>
  <si>
    <t>Deferred</t>
  </si>
  <si>
    <t>ENR0068</t>
  </si>
  <si>
    <t>ENR0080</t>
  </si>
  <si>
    <t>ENR0248</t>
  </si>
  <si>
    <t>ENR0194</t>
  </si>
  <si>
    <t>ENR0182</t>
  </si>
  <si>
    <t>ENR0023</t>
  </si>
  <si>
    <t>ENR0143</t>
  </si>
  <si>
    <t>ENR0075</t>
  </si>
  <si>
    <t>MALE</t>
  </si>
  <si>
    <t>ENR0135</t>
  </si>
  <si>
    <t>ENR0229</t>
  </si>
  <si>
    <t>ENR0104</t>
  </si>
  <si>
    <t>ENR0140</t>
  </si>
  <si>
    <t>ENR0021</t>
  </si>
  <si>
    <t>ENR0141</t>
  </si>
  <si>
    <t>ENR0065</t>
  </si>
  <si>
    <t>ENR0097</t>
  </si>
  <si>
    <t>ENR0262</t>
  </si>
  <si>
    <t>ENR0059</t>
  </si>
  <si>
    <t>ENR0266</t>
  </si>
  <si>
    <t>ENR0022</t>
  </si>
  <si>
    <t>ENR0192</t>
  </si>
  <si>
    <t>ENR0079</t>
  </si>
  <si>
    <t>ENR0148</t>
  </si>
  <si>
    <t>ENR0020</t>
  </si>
  <si>
    <t>ENR0026</t>
  </si>
  <si>
    <t>NULL</t>
  </si>
  <si>
    <t>ENR0181</t>
  </si>
  <si>
    <t>ENR0111</t>
  </si>
  <si>
    <t>ENR0018</t>
  </si>
  <si>
    <t>ENR0131</t>
  </si>
  <si>
    <t>ENR0187</t>
  </si>
  <si>
    <t>ENR0282</t>
  </si>
  <si>
    <t>ENR0009</t>
  </si>
  <si>
    <t>ENR0221</t>
  </si>
  <si>
    <t>ENR0025</t>
  </si>
  <si>
    <t>ENR0041</t>
  </si>
  <si>
    <t>ENR0012</t>
  </si>
  <si>
    <t>ENR0197</t>
  </si>
  <si>
    <t>ENR0024</t>
  </si>
  <si>
    <t>ENR0224</t>
  </si>
  <si>
    <t>ENR0054</t>
  </si>
  <si>
    <t>ENR0052</t>
  </si>
  <si>
    <t>ENR0034</t>
  </si>
  <si>
    <t>ENR0226</t>
  </si>
  <si>
    <t>ENR0063</t>
  </si>
  <si>
    <t>ENR0167</t>
  </si>
  <si>
    <t>ENR0134</t>
  </si>
  <si>
    <t>ENR0051</t>
  </si>
  <si>
    <t>ENR0107</t>
  </si>
  <si>
    <t>ENR0287</t>
  </si>
  <si>
    <t>ENR0133</t>
  </si>
  <si>
    <t>ENR0113</t>
  </si>
  <si>
    <t>ENR0176</t>
  </si>
  <si>
    <t>ENR0258</t>
  </si>
  <si>
    <t>ENR0270</t>
  </si>
  <si>
    <t>ENR0037</t>
  </si>
  <si>
    <t>ENR0001</t>
  </si>
  <si>
    <t>ENR0240</t>
  </si>
  <si>
    <t>ENR0016</t>
  </si>
  <si>
    <t>ENR0206</t>
  </si>
  <si>
    <t>ENR0265</t>
  </si>
  <si>
    <t>ENR0237</t>
  </si>
  <si>
    <t>ENR0203</t>
  </si>
  <si>
    <t>ENR0109</t>
  </si>
  <si>
    <t>ENR0252</t>
  </si>
  <si>
    <t>ENR0214</t>
  </si>
  <si>
    <t>ENR0257</t>
  </si>
  <si>
    <t>ENR0039</t>
  </si>
  <si>
    <t>ENR0289</t>
  </si>
  <si>
    <t>ENR0072</t>
  </si>
  <si>
    <t>ENR0035</t>
  </si>
  <si>
    <t>ENR0122</t>
  </si>
  <si>
    <t>ENR0273</t>
  </si>
  <si>
    <t>ENR0178</t>
  </si>
  <si>
    <t>ENR0208</t>
  </si>
  <si>
    <t>ENR0280</t>
  </si>
  <si>
    <t>ENR0102</t>
  </si>
  <si>
    <t>graduated</t>
  </si>
  <si>
    <t>ENR0250</t>
  </si>
  <si>
    <t>ENR0067</t>
  </si>
  <si>
    <t>ENR0029</t>
  </si>
  <si>
    <t>ENR0071</t>
  </si>
  <si>
    <t>ENR0191</t>
  </si>
  <si>
    <t>ENR0027</t>
  </si>
  <si>
    <t>ENR0281</t>
  </si>
  <si>
    <t>ENR0225</t>
  </si>
  <si>
    <t>FULL-TIME</t>
  </si>
  <si>
    <t>ENR0155</t>
  </si>
  <si>
    <t>ENR0251</t>
  </si>
  <si>
    <t>ENR0129</t>
  </si>
  <si>
    <t>ENR0249</t>
  </si>
  <si>
    <t>ENR0103</t>
  </si>
  <si>
    <t>full-time</t>
  </si>
  <si>
    <t>ENR0074</t>
  </si>
  <si>
    <t>ENR0177</t>
  </si>
  <si>
    <t>part-time</t>
  </si>
  <si>
    <t>ENR0223</t>
  </si>
  <si>
    <t>ENR0077</t>
  </si>
  <si>
    <t>ENR0047</t>
  </si>
  <si>
    <t>ENR0048</t>
  </si>
  <si>
    <t>ENR0231</t>
  </si>
  <si>
    <t>ENR0201</t>
  </si>
  <si>
    <t>ENR0044</t>
  </si>
  <si>
    <t>ENR0154</t>
  </si>
  <si>
    <t>ENR0043</t>
  </si>
  <si>
    <t>ENR0275</t>
  </si>
  <si>
    <t>ENR0014</t>
  </si>
  <si>
    <t>ENR0278</t>
  </si>
  <si>
    <t>ENR0238</t>
  </si>
  <si>
    <t>ENR0005</t>
  </si>
  <si>
    <t>ENR0199</t>
  </si>
  <si>
    <t>ENR0174</t>
  </si>
  <si>
    <t>ENR0062</t>
  </si>
  <si>
    <t>ENR0094</t>
  </si>
  <si>
    <t>ENR0070</t>
  </si>
  <si>
    <t>ENR0216</t>
  </si>
  <si>
    <t>ENR0038</t>
  </si>
  <si>
    <t>ENR0017</t>
  </si>
  <si>
    <t>ENR0271</t>
  </si>
  <si>
    <t>ENR0217</t>
  </si>
  <si>
    <t>ENR0126</t>
  </si>
  <si>
    <t>ENR0228</t>
  </si>
  <si>
    <t>ENR0195</t>
  </si>
  <si>
    <t>ENR0204</t>
  </si>
  <si>
    <t>ENR0121</t>
  </si>
  <si>
    <t>ENR0157</t>
  </si>
  <si>
    <t>ENR0083</t>
  </si>
  <si>
    <t>ENR0156</t>
  </si>
  <si>
    <t>ENR0205</t>
  </si>
  <si>
    <t>ENR0073</t>
  </si>
  <si>
    <t>ENR0136</t>
  </si>
  <si>
    <t>ENR0089</t>
  </si>
  <si>
    <t>ENR0128</t>
  </si>
  <si>
    <t>ENR0213</t>
  </si>
  <si>
    <t>ENR0081</t>
  </si>
  <si>
    <t>ENR0173</t>
  </si>
  <si>
    <t>ENR0045</t>
  </si>
  <si>
    <t>ENR0117</t>
  </si>
  <si>
    <t>ENR0180</t>
  </si>
  <si>
    <t>ENR0116</t>
  </si>
  <si>
    <t>ENR0011</t>
  </si>
  <si>
    <t>ENR0244</t>
  </si>
  <si>
    <t>ENR0211</t>
  </si>
  <si>
    <t>ENR0030</t>
  </si>
  <si>
    <t>ENR0004</t>
  </si>
  <si>
    <t>ENR0183</t>
  </si>
  <si>
    <t>ENR0138</t>
  </si>
  <si>
    <t>ENR0245</t>
  </si>
  <si>
    <t>ENR0232</t>
  </si>
  <si>
    <t>ENR0150</t>
  </si>
  <si>
    <t>ENR0145</t>
  </si>
  <si>
    <t>ENR0056</t>
  </si>
  <si>
    <t>ENR0264</t>
  </si>
  <si>
    <t>ENR0175</t>
  </si>
  <si>
    <t>ENR0061</t>
  </si>
  <si>
    <t>ENR0028</t>
  </si>
  <si>
    <t>ENR0090</t>
  </si>
  <si>
    <t>ENR0209</t>
  </si>
  <si>
    <t>ENR0049</t>
  </si>
  <si>
    <t>ENR0033</t>
  </si>
  <si>
    <t>ENR0291</t>
  </si>
  <si>
    <t>ENR0137</t>
  </si>
  <si>
    <t>ENR0085</t>
  </si>
  <si>
    <t>ENR0120</t>
  </si>
  <si>
    <t>ENR0127</t>
  </si>
  <si>
    <t>ENR0202</t>
  </si>
  <si>
    <t>ENR0284</t>
  </si>
  <si>
    <t>ENR0274</t>
  </si>
  <si>
    <t>ENR0010</t>
  </si>
  <si>
    <t>ENR0170</t>
  </si>
  <si>
    <t>ENR0239</t>
  </si>
  <si>
    <t>ENR0263</t>
  </si>
  <si>
    <t>ENR0162</t>
  </si>
  <si>
    <t>Unknown</t>
  </si>
  <si>
    <t>ENR0200</t>
  </si>
  <si>
    <t>ENR0002</t>
  </si>
  <si>
    <t>ENR0193</t>
  </si>
  <si>
    <t>ENR0267</t>
  </si>
  <si>
    <t>ENR0268</t>
  </si>
  <si>
    <t>ENR0098</t>
  </si>
  <si>
    <t>ENR0092</t>
  </si>
  <si>
    <t>ENR0272</t>
  </si>
  <si>
    <t>ENR0261</t>
  </si>
  <si>
    <t>deferred</t>
  </si>
  <si>
    <t>ENR0132</t>
  </si>
  <si>
    <t>ENR0101</t>
  </si>
  <si>
    <t>ENR0186</t>
  </si>
  <si>
    <t>ENR0164</t>
  </si>
  <si>
    <t>ENR0207</t>
  </si>
  <si>
    <t>CS</t>
  </si>
  <si>
    <t>ENR0058</t>
  </si>
  <si>
    <t>ENR0003</t>
  </si>
  <si>
    <t>ENR0179</t>
  </si>
  <si>
    <t>ENR0032</t>
  </si>
  <si>
    <t>ENR0190</t>
  </si>
  <si>
    <t>ENR0082</t>
  </si>
  <si>
    <t>ENR0096</t>
  </si>
  <si>
    <t>ENR0069</t>
  </si>
  <si>
    <t>ENR0185</t>
  </si>
  <si>
    <t>ENR0234</t>
  </si>
  <si>
    <t>BA</t>
  </si>
  <si>
    <t>ENR0088</t>
  </si>
  <si>
    <t>ENR0151</t>
  </si>
  <si>
    <t>ENR0099</t>
  </si>
  <si>
    <t>ENR0149</t>
  </si>
  <si>
    <t>ENR0219</t>
  </si>
  <si>
    <t>ENR0076</t>
  </si>
  <si>
    <t>ENR0196</t>
  </si>
  <si>
    <t>ENR0259</t>
  </si>
  <si>
    <t>ENR0292</t>
  </si>
  <si>
    <t>ENR0230</t>
  </si>
  <si>
    <t>ENR0086</t>
  </si>
  <si>
    <t>ENR0053</t>
  </si>
  <si>
    <t>ENR0153</t>
  </si>
  <si>
    <t>ENR0218</t>
  </si>
  <si>
    <t>ENR0242</t>
  </si>
  <si>
    <t>ENR0212</t>
  </si>
  <si>
    <t>ENR0115</t>
  </si>
  <si>
    <t>ENR0163</t>
  </si>
  <si>
    <t>ENR0007</t>
  </si>
  <si>
    <t>ENR0210</t>
  </si>
  <si>
    <t>ENR0142</t>
  </si>
  <si>
    <t>ENR0015</t>
  </si>
  <si>
    <t>ENR0046</t>
  </si>
  <si>
    <t>ENR0233</t>
  </si>
  <si>
    <t>ENR0066</t>
  </si>
  <si>
    <t>ENR0040</t>
  </si>
  <si>
    <t>ENR0220</t>
  </si>
  <si>
    <t>online</t>
  </si>
  <si>
    <t>ENR0130</t>
  </si>
  <si>
    <t>ENR0144</t>
  </si>
  <si>
    <t>ENR0255</t>
  </si>
  <si>
    <t>ENR0114</t>
  </si>
  <si>
    <t>ENR0172</t>
  </si>
  <si>
    <t>ENR0159</t>
  </si>
  <si>
    <t>ENR0118</t>
  </si>
  <si>
    <t>ENR0008</t>
  </si>
  <si>
    <t>ENR0158</t>
  </si>
  <si>
    <t>ENR0189</t>
  </si>
  <si>
    <t>ENR0147</t>
  </si>
  <si>
    <t>ENR0119</t>
  </si>
  <si>
    <t>ENR0110</t>
  </si>
  <si>
    <t>ENR0246</t>
  </si>
  <si>
    <t>ENR0084</t>
  </si>
  <si>
    <t>ENR0227</t>
  </si>
  <si>
    <t>ENR0169</t>
  </si>
  <si>
    <t>ENR0293</t>
  </si>
  <si>
    <t>ENR0294</t>
  </si>
  <si>
    <t>ENR0295</t>
  </si>
  <si>
    <t>ENR0296</t>
  </si>
  <si>
    <t>ENR0297</t>
  </si>
  <si>
    <t>ENR0298</t>
  </si>
  <si>
    <t>ENR0299</t>
  </si>
  <si>
    <t>ENR0300</t>
  </si>
  <si>
    <t>study_mode</t>
  </si>
  <si>
    <t>Grand Total</t>
  </si>
  <si>
    <t>Row Labels</t>
  </si>
  <si>
    <t>Count of Student_ID</t>
  </si>
  <si>
    <t>ENR0006</t>
  </si>
  <si>
    <t>ENR0013</t>
  </si>
  <si>
    <t>ENR0055</t>
  </si>
  <si>
    <t>ENR0064</t>
  </si>
  <si>
    <t>ENR0078</t>
  </si>
  <si>
    <t>ENR0146</t>
  </si>
  <si>
    <t>ENR0161</t>
  </si>
  <si>
    <t>ENR0168</t>
  </si>
  <si>
    <t>ENR0184</t>
  </si>
  <si>
    <t>ENR0188</t>
  </si>
  <si>
    <t>ENR0198</t>
  </si>
  <si>
    <t>ENR0236</t>
  </si>
  <si>
    <t>ENR0269</t>
  </si>
  <si>
    <t>ENR0277</t>
  </si>
  <si>
    <t>ENR0283</t>
  </si>
  <si>
    <t>Sum of Tuition_Fee</t>
  </si>
  <si>
    <t>Total Students</t>
  </si>
  <si>
    <t>Active Students</t>
  </si>
  <si>
    <t>Graduated Students</t>
  </si>
  <si>
    <t>Withdrawn Students</t>
  </si>
  <si>
    <t>Total Tuition Fee</t>
  </si>
  <si>
    <t>Average Tuition Fee</t>
  </si>
  <si>
    <t xml:space="preserve"> STUDENT ENROLLMENT DASHBOARD </t>
  </si>
  <si>
    <t>TOTAL BLANK</t>
  </si>
  <si>
    <t>DATA</t>
  </si>
  <si>
    <t>DATA COLOUM AND ROW</t>
  </si>
  <si>
    <t>ROW</t>
  </si>
  <si>
    <t>BLANK</t>
  </si>
  <si>
    <t>TOTAL DATA</t>
  </si>
  <si>
    <t>GENDER</t>
  </si>
  <si>
    <t>blank</t>
  </si>
  <si>
    <t>non value</t>
  </si>
  <si>
    <t>PROGRAM</t>
  </si>
  <si>
    <t>TOTAL</t>
  </si>
  <si>
    <t>STUDY MODE</t>
  </si>
  <si>
    <t>Blank</t>
  </si>
  <si>
    <t>DATA BLANKES</t>
  </si>
  <si>
    <t>GENDER BY Tuition_Fee</t>
  </si>
  <si>
    <t>ENROLLMENT_STATUS</t>
  </si>
  <si>
    <t>Blanks</t>
  </si>
  <si>
    <t xml:space="preserve">Program Tuition </t>
  </si>
  <si>
    <t>Tuition</t>
  </si>
  <si>
    <t>Erollment_status By Tuition</t>
  </si>
  <si>
    <t>Erollment</t>
  </si>
  <si>
    <t>Study_Mode By Tuition</t>
  </si>
  <si>
    <t xml:space="preserve">Student_ID Dublicate </t>
  </si>
  <si>
    <t>Student_ID Apsent</t>
  </si>
  <si>
    <t xml:space="preserve">non_gender </t>
  </si>
  <si>
    <t>non_program</t>
  </si>
  <si>
    <t>non_date</t>
  </si>
  <si>
    <t>non_stady_mode</t>
  </si>
  <si>
    <t>error text</t>
  </si>
  <si>
    <t>PART-TIME</t>
  </si>
  <si>
    <t>non_status</t>
  </si>
  <si>
    <t>Count of Tuition_Fee</t>
  </si>
  <si>
    <t>Year</t>
  </si>
  <si>
    <t>Monthly</t>
  </si>
  <si>
    <t>Clean_Enrollment_Date</t>
  </si>
  <si>
    <t>#VALUE!</t>
  </si>
  <si>
    <t>1</t>
  </si>
  <si>
    <t>11</t>
  </si>
  <si>
    <t>12</t>
  </si>
  <si>
    <t>2</t>
  </si>
  <si>
    <t>3</t>
  </si>
  <si>
    <t>5</t>
  </si>
  <si>
    <t>6</t>
  </si>
  <si>
    <t>7</t>
  </si>
  <si>
    <t>8</t>
  </si>
  <si>
    <t>TOTAL STUDENT</t>
  </si>
  <si>
    <t>TOTAL TUITION</t>
  </si>
  <si>
    <t>Average of Tuition_Fee</t>
  </si>
  <si>
    <t>DASHBOARD ENROLLMENT</t>
  </si>
  <si>
    <t>AVG TUITION</t>
  </si>
  <si>
    <t>GRADUATED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</si>
</sst>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164" formatCode="yyyy\-mm\-dd"/>
    <numFmt numFmtId="165" formatCode="\$#,##0.00"/>
    <numFmt numFmtId="166" formatCode="&quot;$&quot;#,##0.00"/>
    <numFmt numFmtId="167" formatCode="&quot;$&quot;#,##0"/>
    <numFmt numFmtId="168" formatCode="_(&quot;$&quot;* #,##0_);_(&quot;$&quot;* \(#,##0\);_(&quot;$&quot;* &quot;-&quot;??_);_(@_)"/>
    <numFmt numFmtId="172" formatCode="[$-F800]dddd\,\ mmmm\ dd\,\ yyyy"/>
  </numFmts>
  <fonts count="16">
    <font>
      <sz val="11"/>
      <name val="Carlito"/>
    </font>
    <font>
      <b/>
      <sz val="11"/>
      <color rgb="FFFFFFFF"/>
      <name val="Carlito"/>
    </font>
    <font>
      <b/>
      <sz val="11"/>
      <name val="Carlito"/>
    </font>
    <font>
      <sz val="8"/>
      <name val="Carlito"/>
    </font>
    <font>
      <sz val="11"/>
      <color theme="0"/>
      <name val="Carlito"/>
    </font>
    <font>
      <sz val="24"/>
      <color theme="0"/>
      <name val="Carlito"/>
    </font>
    <font>
      <sz val="26"/>
      <color theme="0"/>
      <name val="Carlito"/>
    </font>
    <font>
      <sz val="11"/>
      <name val="Carlito"/>
    </font>
    <font>
      <sz val="18"/>
      <name val="Carlito"/>
    </font>
    <font>
      <sz val="14"/>
      <name val="Carlito"/>
    </font>
    <font>
      <b/>
      <i/>
      <sz val="20"/>
      <name val="Carlito"/>
    </font>
    <font>
      <sz val="20"/>
      <name val="Carlito"/>
    </font>
    <font>
      <sz val="12"/>
      <name val="Carlito"/>
    </font>
    <font>
      <b/>
      <sz val="22"/>
      <name val="Carlito"/>
    </font>
    <font>
      <b/>
      <i/>
      <sz val="12"/>
      <name val="Carlito"/>
    </font>
    <font>
      <b/>
      <sz val="12"/>
      <name val="Carlito"/>
    </font>
  </fonts>
  <fills count="9">
    <fill>
      <patternFill patternType="none"/>
    </fill>
    <fill>
      <patternFill patternType="gray125"/>
    </fill>
    <fill>
      <patternFill patternType="solid">
        <fgColor rgb="FF1F4E78"/>
      </patternFill>
    </fill>
    <fill>
      <patternFill patternType="solid">
        <fgColor rgb="FFD9EAF7"/>
      </patternFill>
    </fill>
    <fill>
      <patternFill patternType="solid">
        <fgColor theme="7" tint="0.39997558519241921"/>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rgb="FFD9EAF7"/>
        <bgColor indexed="64"/>
      </patternFill>
    </fill>
  </fills>
  <borders count="1">
    <border>
      <left/>
      <right/>
      <top/>
      <bottom/>
      <diagonal/>
    </border>
  </borders>
  <cellStyleXfs count="3">
    <xf numFmtId="0" fontId="0" fillId="0" borderId="0"/>
    <xf numFmtId="44" fontId="7" fillId="0" borderId="0" applyFont="0" applyFill="0" applyBorder="0" applyAlignment="0" applyProtection="0"/>
    <xf numFmtId="9" fontId="7" fillId="0" borderId="0" applyFont="0" applyFill="0" applyBorder="0" applyAlignment="0" applyProtection="0"/>
  </cellStyleXfs>
  <cellXfs count="45">
    <xf numFmtId="0" fontId="0" fillId="0" borderId="0" xfId="0"/>
    <xf numFmtId="0" fontId="1" fillId="2" borderId="0" xfId="0" applyFont="1" applyFill="1" applyAlignment="1">
      <alignment horizontal="center" vertical="center" wrapText="1"/>
    </xf>
    <xf numFmtId="0" fontId="0" fillId="0" borderId="0" xfId="0" applyAlignment="1">
      <alignment wrapText="1"/>
    </xf>
    <xf numFmtId="0" fontId="2" fillId="3" borderId="0" xfId="0" applyFont="1" applyFill="1" applyAlignment="1">
      <alignment horizontal="center" vertical="center"/>
    </xf>
    <xf numFmtId="164" fontId="0" fillId="0" borderId="0" xfId="0" applyNumberFormat="1"/>
    <xf numFmtId="165" fontId="0" fillId="0" borderId="0" xfId="0" applyNumberFormat="1"/>
    <xf numFmtId="0" fontId="2" fillId="0" borderId="0" xfId="0" applyFont="1" applyAlignment="1">
      <alignment wrapText="1"/>
    </xf>
    <xf numFmtId="0" fontId="0" fillId="0" borderId="0" xfId="0" pivotButton="1"/>
    <xf numFmtId="0" fontId="0" fillId="0" borderId="0" xfId="0" applyAlignment="1">
      <alignment horizontal="left"/>
    </xf>
    <xf numFmtId="166" fontId="0" fillId="0" borderId="0" xfId="0" applyNumberFormat="1"/>
    <xf numFmtId="44" fontId="0" fillId="0" borderId="0" xfId="1" applyFont="1"/>
    <xf numFmtId="44" fontId="0" fillId="0" borderId="0" xfId="2" applyNumberFormat="1" applyFont="1"/>
    <xf numFmtId="168" fontId="0" fillId="0" borderId="0" xfId="1" applyNumberFormat="1" applyFont="1"/>
    <xf numFmtId="168" fontId="0" fillId="0" borderId="0" xfId="0" applyNumberFormat="1"/>
    <xf numFmtId="168" fontId="0" fillId="6" borderId="0" xfId="0" applyNumberFormat="1" applyFill="1"/>
    <xf numFmtId="168" fontId="0" fillId="6" borderId="0" xfId="1" applyNumberFormat="1" applyFont="1" applyFill="1"/>
    <xf numFmtId="0" fontId="0" fillId="6" borderId="0" xfId="0" applyFill="1" applyAlignment="1">
      <alignment horizontal="center"/>
    </xf>
    <xf numFmtId="0" fontId="9" fillId="6" borderId="0" xfId="0" applyFont="1" applyFill="1" applyAlignment="1">
      <alignment horizontal="center"/>
    </xf>
    <xf numFmtId="0" fontId="8" fillId="6" borderId="0" xfId="0" applyFont="1" applyFill="1" applyAlignment="1">
      <alignment horizontal="center"/>
    </xf>
    <xf numFmtId="0" fontId="6" fillId="5" borderId="0" xfId="0" applyFont="1" applyFill="1" applyAlignment="1">
      <alignment horizontal="center"/>
    </xf>
    <xf numFmtId="0" fontId="0" fillId="4" borderId="0" xfId="0" applyFill="1" applyAlignment="1">
      <alignment horizontal="center"/>
    </xf>
    <xf numFmtId="0" fontId="5" fillId="5" borderId="0" xfId="0" applyFont="1" applyFill="1" applyAlignment="1">
      <alignment horizontal="center"/>
    </xf>
    <xf numFmtId="0" fontId="5" fillId="4" borderId="0" xfId="0" applyFont="1" applyFill="1" applyAlignment="1">
      <alignment horizontal="center"/>
    </xf>
    <xf numFmtId="167" fontId="5" fillId="5" borderId="0" xfId="0" applyNumberFormat="1" applyFont="1" applyFill="1" applyAlignment="1">
      <alignment horizontal="center"/>
    </xf>
    <xf numFmtId="2" fontId="5" fillId="5" borderId="0" xfId="0" applyNumberFormat="1" applyFont="1" applyFill="1" applyAlignment="1">
      <alignment horizontal="center"/>
    </xf>
    <xf numFmtId="0" fontId="4" fillId="4" borderId="0" xfId="0" applyFont="1" applyFill="1" applyAlignment="1">
      <alignment horizontal="center"/>
    </xf>
    <xf numFmtId="0" fontId="4" fillId="5" borderId="0" xfId="0" applyFont="1" applyFill="1" applyAlignment="1">
      <alignment horizontal="center"/>
    </xf>
    <xf numFmtId="0" fontId="0" fillId="5" borderId="0" xfId="0" applyFill="1" applyAlignment="1">
      <alignment horizontal="center"/>
    </xf>
    <xf numFmtId="0" fontId="0" fillId="7" borderId="0" xfId="0" applyFill="1" applyAlignment="1">
      <alignment horizontal="center"/>
    </xf>
    <xf numFmtId="0" fontId="0" fillId="0" borderId="0" xfId="0" applyNumberFormat="1"/>
    <xf numFmtId="44" fontId="0" fillId="0" borderId="0" xfId="0" applyNumberFormat="1"/>
    <xf numFmtId="14" fontId="0" fillId="0" borderId="0" xfId="0" applyNumberFormat="1" applyAlignment="1">
      <alignment horizontal="left"/>
    </xf>
    <xf numFmtId="0" fontId="2" fillId="8" borderId="0" xfId="0" applyFont="1" applyFill="1" applyAlignment="1">
      <alignment horizontal="center" vertical="center"/>
    </xf>
    <xf numFmtId="14" fontId="0" fillId="0" borderId="0" xfId="0" applyNumberFormat="1"/>
    <xf numFmtId="172" fontId="0" fillId="0" borderId="0" xfId="0" applyNumberFormat="1"/>
    <xf numFmtId="0" fontId="10" fillId="7" borderId="0" xfId="0" applyFont="1" applyFill="1" applyAlignment="1">
      <alignment horizontal="center"/>
    </xf>
    <xf numFmtId="0" fontId="11" fillId="0" borderId="0" xfId="0" applyFont="1"/>
    <xf numFmtId="1" fontId="0" fillId="0" borderId="0" xfId="0" applyNumberFormat="1"/>
    <xf numFmtId="44" fontId="10" fillId="7" borderId="0" xfId="0" applyNumberFormat="1" applyFont="1" applyFill="1" applyAlignment="1">
      <alignment horizontal="center"/>
    </xf>
    <xf numFmtId="0" fontId="0" fillId="0" borderId="0" xfId="0" applyFill="1" applyAlignment="1"/>
    <xf numFmtId="0" fontId="13" fillId="5" borderId="0" xfId="0" applyFont="1" applyFill="1" applyAlignment="1">
      <alignment horizontal="center"/>
    </xf>
    <xf numFmtId="0" fontId="14" fillId="5" borderId="0" xfId="0" applyFont="1" applyFill="1" applyAlignment="1">
      <alignment horizontal="center"/>
    </xf>
    <xf numFmtId="0" fontId="14" fillId="0" borderId="0" xfId="0" applyFont="1"/>
    <xf numFmtId="0" fontId="12" fillId="0" borderId="0" xfId="0" applyFont="1"/>
    <xf numFmtId="0" fontId="15" fillId="5" borderId="0" xfId="0" applyFont="1" applyFill="1" applyAlignment="1">
      <alignment horizontal="center"/>
    </xf>
  </cellXfs>
  <cellStyles count="3">
    <cellStyle name="Currency" xfId="1" builtinId="4"/>
    <cellStyle name="Normal" xfId="0" builtinId="0"/>
    <cellStyle name="Percent" xfId="2" builtinId="5"/>
  </cellStyles>
  <dxfs count="190">
    <dxf>
      <numFmt numFmtId="34" formatCode="_(&quot;$&quot;* #,##0.00_);_(&quot;$&quot;* \(#,##0.00\);_(&quot;$&quot;* &quot;-&quot;??_);_(@_)"/>
    </dxf>
    <dxf>
      <numFmt numFmtId="0" formatCode="General"/>
    </dxf>
    <dxf>
      <numFmt numFmtId="0" formatCode="General"/>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1" formatCode="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0" formatCode="General"/>
    </dxf>
    <dxf>
      <numFmt numFmtId="0" formatCode="General"/>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1" formatCode="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0" formatCode="General"/>
    </dxf>
    <dxf>
      <numFmt numFmtId="0" formatCode="General"/>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1" formatCode="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0" formatCode="General"/>
    </dxf>
    <dxf>
      <numFmt numFmtId="0" formatCode="General"/>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1" formatCode="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0" formatCode="General"/>
    </dxf>
    <dxf>
      <numFmt numFmtId="0" formatCode="General"/>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1" formatCode="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0" formatCode="General"/>
    </dxf>
    <dxf>
      <numFmt numFmtId="0" formatCode="General"/>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1" formatCode="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0" formatCode="General"/>
    </dxf>
    <dxf>
      <numFmt numFmtId="0" formatCode="General"/>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1" formatCode="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0" formatCode="General"/>
    </dxf>
    <dxf>
      <numFmt numFmtId="0" formatCode="General"/>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1" formatCode="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0" formatCode="General"/>
    </dxf>
    <dxf>
      <numFmt numFmtId="0" formatCode="General"/>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1" formatCode="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0" formatCode="General"/>
    </dxf>
    <dxf>
      <numFmt numFmtId="0" formatCode="General"/>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1" formatCode="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0" formatCode="General"/>
    </dxf>
    <dxf>
      <numFmt numFmtId="0" formatCode="General"/>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1" formatCode="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0" formatCode="General"/>
    </dxf>
    <dxf>
      <numFmt numFmtId="0" formatCode="General"/>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1" formatCode="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0" formatCode="General"/>
    </dxf>
    <dxf>
      <numFmt numFmtId="0" formatCode="General"/>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1" formatCode="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0" formatCode="General"/>
    </dxf>
    <dxf>
      <numFmt numFmtId="0" formatCode="General"/>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1" formatCode="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0" formatCode="General"/>
    </dxf>
    <dxf>
      <numFmt numFmtId="34" formatCode="_(&quot;$&quot;* #,##0.00_);_(&quot;$&quot;* \(#,##0.00\);_(&quot;$&quot;* &quot;-&quot;??_);_(@_)"/>
    </dxf>
    <dxf>
      <numFmt numFmtId="0" formatCode="General"/>
    </dxf>
    <dxf>
      <numFmt numFmtId="1" formatCode="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0" formatCode="General"/>
    </dxf>
    <dxf>
      <numFmt numFmtId="165" formatCode="\$#,##0.00"/>
    </dxf>
    <dxf>
      <numFmt numFmtId="164" formatCode="yyyy\-mm\-dd"/>
    </dxf>
    <dxf>
      <font>
        <b/>
        <i val="0"/>
        <strike val="0"/>
        <condense val="0"/>
        <extend val="0"/>
        <outline val="0"/>
        <shadow val="0"/>
        <u val="none"/>
        <vertAlign val="baseline"/>
        <sz val="11"/>
        <color auto="1"/>
        <name val="Carlito"/>
        <scheme val="none"/>
      </font>
      <fill>
        <patternFill patternType="solid">
          <fgColor indexed="64"/>
          <bgColor rgb="FFD9EAF7"/>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2.xml"/><Relationship Id="rId39" Type="http://schemas.openxmlformats.org/officeDocument/2006/relationships/sharedStrings" Target="sharedStrings.xml"/><Relationship Id="rId21" Type="http://schemas.openxmlformats.org/officeDocument/2006/relationships/pivotCacheDefinition" Target="pivotCache/pivotCacheDefinition2.xml"/><Relationship Id="rId34" Type="http://schemas.microsoft.com/office/2007/relationships/slicerCache" Target="slicerCaches/slicerCache1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microsoft.com/office/2007/relationships/slicerCache" Target="slicerCaches/slicerCache5.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5.xml"/><Relationship Id="rId32" Type="http://schemas.microsoft.com/office/2007/relationships/slicerCache" Target="slicerCaches/slicerCache8.xml"/><Relationship Id="rId37" Type="http://schemas.openxmlformats.org/officeDocument/2006/relationships/connections" Target="connections.xml"/><Relationship Id="rId40"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microsoft.com/office/2007/relationships/slicerCache" Target="slicerCaches/slicerCache4.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3.xml"/><Relationship Id="rId30" Type="http://schemas.microsoft.com/office/2007/relationships/slicerCache" Target="slicerCaches/slicerCache6.xml"/><Relationship Id="rId35" Type="http://schemas.microsoft.com/office/2007/relationships/slicerCache" Target="slicerCaches/slicerCache1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1.xml"/><Relationship Id="rId33" Type="http://schemas.microsoft.com/office/2007/relationships/slicerCache" Target="slicerCaches/slicerCache9.xml"/><Relationship Id="rId38"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lumMod val="20000"/>
              <a:lumOff val="80000"/>
            </a:schemeClr>
          </a:solidFill>
          <a:ln>
            <a:noFill/>
          </a:ln>
          <a:effectLst/>
          <a:sp3d/>
        </c:spPr>
      </c:pivotFmt>
      <c:pivotFmt>
        <c:idx val="10"/>
        <c:spPr>
          <a:solidFill>
            <a:schemeClr val="accent4">
              <a:lumMod val="40000"/>
              <a:lumOff val="60000"/>
            </a:schemeClr>
          </a:solidFill>
          <a:ln>
            <a:noFill/>
          </a:ln>
          <a:effectLst/>
          <a:sp3d/>
        </c:spPr>
      </c:pivotFmt>
      <c:pivotFmt>
        <c:idx val="11"/>
        <c:spPr>
          <a:solidFill>
            <a:schemeClr val="accent4">
              <a:lumMod val="60000"/>
              <a:lumOff val="40000"/>
            </a:schemeClr>
          </a:solidFill>
          <a:ln>
            <a:noFill/>
          </a:ln>
          <a:effectLst/>
          <a:sp3d/>
        </c:spPr>
      </c:pivotFmt>
      <c:pivotFmt>
        <c:idx val="12"/>
        <c:spPr>
          <a:solidFill>
            <a:schemeClr val="accent4">
              <a:lumMod val="75000"/>
            </a:schemeClr>
          </a:solidFill>
          <a:ln>
            <a:noFill/>
          </a:ln>
          <a:effectLst/>
          <a:sp3d/>
        </c:spPr>
      </c:pivotFmt>
      <c:pivotFmt>
        <c:idx val="13"/>
        <c:spPr>
          <a:solidFill>
            <a:schemeClr val="accent4">
              <a:lumMod val="50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v>Total</c:v>
          </c:tx>
          <c:spPr>
            <a:solidFill>
              <a:schemeClr val="accent1"/>
            </a:solidFill>
            <a:ln>
              <a:noFill/>
            </a:ln>
            <a:effectLst/>
            <a:sp3d/>
          </c:spPr>
          <c:invertIfNegative val="0"/>
          <c:dPt>
            <c:idx val="0"/>
            <c:invertIfNegative val="0"/>
            <c:bubble3D val="0"/>
            <c:spPr>
              <a:solidFill>
                <a:schemeClr val="accent4">
                  <a:lumMod val="50000"/>
                </a:schemeClr>
              </a:solidFill>
              <a:ln>
                <a:noFill/>
              </a:ln>
              <a:effectLst/>
              <a:sp3d/>
            </c:spPr>
            <c:extLst>
              <c:ext xmlns:c16="http://schemas.microsoft.com/office/drawing/2014/chart" uri="{C3380CC4-5D6E-409C-BE32-E72D297353CC}">
                <c16:uniqueId val="{00000005-017E-46C4-8634-42EB757A63BA}"/>
              </c:ext>
            </c:extLst>
          </c:dPt>
          <c:dPt>
            <c:idx val="1"/>
            <c:invertIfNegative val="0"/>
            <c:bubble3D val="0"/>
            <c:spPr>
              <a:solidFill>
                <a:schemeClr val="accent4">
                  <a:lumMod val="75000"/>
                </a:schemeClr>
              </a:solidFill>
              <a:ln>
                <a:noFill/>
              </a:ln>
              <a:effectLst/>
              <a:sp3d/>
            </c:spPr>
            <c:extLst>
              <c:ext xmlns:c16="http://schemas.microsoft.com/office/drawing/2014/chart" uri="{C3380CC4-5D6E-409C-BE32-E72D297353CC}">
                <c16:uniqueId val="{00000004-017E-46C4-8634-42EB757A63BA}"/>
              </c:ext>
            </c:extLst>
          </c:dPt>
          <c:dPt>
            <c:idx val="2"/>
            <c:invertIfNegative val="0"/>
            <c:bubble3D val="0"/>
            <c:spPr>
              <a:solidFill>
                <a:schemeClr val="accent4">
                  <a:lumMod val="60000"/>
                  <a:lumOff val="40000"/>
                </a:schemeClr>
              </a:solidFill>
              <a:ln>
                <a:noFill/>
              </a:ln>
              <a:effectLst/>
              <a:sp3d/>
            </c:spPr>
            <c:extLst>
              <c:ext xmlns:c16="http://schemas.microsoft.com/office/drawing/2014/chart" uri="{C3380CC4-5D6E-409C-BE32-E72D297353CC}">
                <c16:uniqueId val="{00000003-017E-46C4-8634-42EB757A63BA}"/>
              </c:ext>
            </c:extLst>
          </c:dPt>
          <c:dPt>
            <c:idx val="3"/>
            <c:invertIfNegative val="0"/>
            <c:bubble3D val="0"/>
            <c:spPr>
              <a:solidFill>
                <a:schemeClr val="accent4">
                  <a:lumMod val="40000"/>
                  <a:lumOff val="60000"/>
                </a:schemeClr>
              </a:solidFill>
              <a:ln>
                <a:noFill/>
              </a:ln>
              <a:effectLst/>
              <a:sp3d/>
            </c:spPr>
            <c:extLst>
              <c:ext xmlns:c16="http://schemas.microsoft.com/office/drawing/2014/chart" uri="{C3380CC4-5D6E-409C-BE32-E72D297353CC}">
                <c16:uniqueId val="{00000002-017E-46C4-8634-42EB757A63BA}"/>
              </c:ext>
            </c:extLst>
          </c:dPt>
          <c:dPt>
            <c:idx val="4"/>
            <c:invertIfNegative val="0"/>
            <c:bubble3D val="0"/>
            <c:spPr>
              <a:solidFill>
                <a:schemeClr val="accent4">
                  <a:lumMod val="20000"/>
                  <a:lumOff val="80000"/>
                </a:schemeClr>
              </a:solidFill>
              <a:ln>
                <a:noFill/>
              </a:ln>
              <a:effectLst/>
              <a:sp3d/>
            </c:spPr>
            <c:extLst>
              <c:ext xmlns:c16="http://schemas.microsoft.com/office/drawing/2014/chart" uri="{C3380CC4-5D6E-409C-BE32-E72D297353CC}">
                <c16:uniqueId val="{00000001-017E-46C4-8634-42EB757A63BA}"/>
              </c:ext>
            </c:extLst>
          </c:dPt>
          <c:cat>
            <c:strLit>
              <c:ptCount val="5"/>
              <c:pt idx="0">
                <c:v>Active</c:v>
              </c:pt>
              <c:pt idx="1">
                <c:v>Deferred</c:v>
              </c:pt>
              <c:pt idx="2">
                <c:v>Graduated</c:v>
              </c:pt>
              <c:pt idx="3">
                <c:v>Withdraw</c:v>
              </c:pt>
              <c:pt idx="4">
                <c:v>Withdrawn</c:v>
              </c:pt>
            </c:strLit>
          </c:cat>
          <c:val>
            <c:numLit>
              <c:formatCode>General</c:formatCode>
              <c:ptCount val="5"/>
              <c:pt idx="0">
                <c:v>180</c:v>
              </c:pt>
              <c:pt idx="1">
                <c:v>31</c:v>
              </c:pt>
              <c:pt idx="2">
                <c:v>69</c:v>
              </c:pt>
              <c:pt idx="3">
                <c:v>4</c:v>
              </c:pt>
              <c:pt idx="4">
                <c:v>16</c:v>
              </c:pt>
            </c:numLit>
          </c:val>
          <c:extLst>
            <c:ext xmlns:c16="http://schemas.microsoft.com/office/drawing/2014/chart" uri="{C3380CC4-5D6E-409C-BE32-E72D297353CC}">
              <c16:uniqueId val="{00000000-9018-4C47-AB4E-0069FC0B6614}"/>
            </c:ext>
          </c:extLst>
        </c:ser>
        <c:dLbls>
          <c:showLegendKey val="0"/>
          <c:showVal val="0"/>
          <c:showCatName val="0"/>
          <c:showSerName val="0"/>
          <c:showPercent val="0"/>
          <c:showBubbleSize val="0"/>
        </c:dLbls>
        <c:gapWidth val="150"/>
        <c:shape val="box"/>
        <c:axId val="811895887"/>
        <c:axId val="811896719"/>
        <c:axId val="0"/>
      </c:bar3DChart>
      <c:catAx>
        <c:axId val="8118958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896719"/>
        <c:crosses val="autoZero"/>
        <c:auto val="1"/>
        <c:lblAlgn val="ctr"/>
        <c:lblOffset val="100"/>
        <c:noMultiLvlLbl val="0"/>
      </c:catAx>
      <c:valAx>
        <c:axId val="81189671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895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247594050743659E-2"/>
          <c:y val="0.28180336832895886"/>
          <c:w val="0.74725196850393705"/>
          <c:h val="0.53774387576552929"/>
        </c:manualLayout>
      </c:layout>
      <c:lineChart>
        <c:grouping val="standard"/>
        <c:varyColors val="0"/>
        <c:ser>
          <c:idx val="0"/>
          <c:order val="0"/>
          <c:tx>
            <c:v>Total</c:v>
          </c:tx>
          <c:spPr>
            <a:ln w="28575" cap="rnd">
              <a:solidFill>
                <a:schemeClr val="accent4">
                  <a:lumMod val="60000"/>
                  <a:lumOff val="40000"/>
                </a:schemeClr>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37</c:v>
              </c:pt>
              <c:pt idx="1">
                <c:v>21</c:v>
              </c:pt>
              <c:pt idx="2">
                <c:v>25</c:v>
              </c:pt>
              <c:pt idx="3">
                <c:v>30</c:v>
              </c:pt>
              <c:pt idx="4">
                <c:v>28</c:v>
              </c:pt>
              <c:pt idx="5">
                <c:v>29</c:v>
              </c:pt>
              <c:pt idx="6">
                <c:v>36</c:v>
              </c:pt>
              <c:pt idx="7">
                <c:v>23</c:v>
              </c:pt>
              <c:pt idx="8">
                <c:v>22</c:v>
              </c:pt>
              <c:pt idx="9">
                <c:v>10</c:v>
              </c:pt>
              <c:pt idx="10">
                <c:v>19</c:v>
              </c:pt>
              <c:pt idx="11">
                <c:v>20</c:v>
              </c:pt>
            </c:numLit>
          </c:val>
          <c:smooth val="0"/>
          <c:extLst>
            <c:ext xmlns:c16="http://schemas.microsoft.com/office/drawing/2014/chart" uri="{C3380CC4-5D6E-409C-BE32-E72D297353CC}">
              <c16:uniqueId val="{00000000-4998-4516-AF7B-DF5F0781AB98}"/>
            </c:ext>
          </c:extLst>
        </c:ser>
        <c:dLbls>
          <c:showLegendKey val="0"/>
          <c:showVal val="0"/>
          <c:showCatName val="0"/>
          <c:showSerName val="0"/>
          <c:showPercent val="0"/>
          <c:showBubbleSize val="0"/>
        </c:dLbls>
        <c:smooth val="0"/>
        <c:axId val="863964991"/>
        <c:axId val="863966239"/>
      </c:lineChart>
      <c:catAx>
        <c:axId val="863964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966239"/>
        <c:crosses val="autoZero"/>
        <c:auto val="1"/>
        <c:lblAlgn val="ctr"/>
        <c:lblOffset val="100"/>
        <c:noMultiLvlLbl val="0"/>
      </c:catAx>
      <c:valAx>
        <c:axId val="863966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964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a:sp3d/>
        </c:spPr>
      </c:pivotFmt>
      <c:pivotFmt>
        <c:idx val="4"/>
        <c:spPr>
          <a:solidFill>
            <a:schemeClr val="accent4">
              <a:lumMod val="40000"/>
              <a:lumOff val="60000"/>
            </a:schemeClr>
          </a:solidFill>
          <a:ln>
            <a:noFill/>
          </a:ln>
          <a:effectLst/>
          <a:sp3d/>
        </c:spPr>
      </c:pivotFmt>
      <c:pivotFmt>
        <c:idx val="5"/>
        <c:spPr>
          <a:solidFill>
            <a:schemeClr val="accent4">
              <a:lumMod val="20000"/>
              <a:lumOff val="80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solidFill>
              <a:schemeClr val="accent1"/>
            </a:solidFill>
            <a:ln>
              <a:noFill/>
            </a:ln>
            <a:effectLst/>
            <a:sp3d/>
          </c:spPr>
          <c:invertIfNegative val="0"/>
          <c:dPt>
            <c:idx val="0"/>
            <c:invertIfNegative val="0"/>
            <c:bubble3D val="0"/>
            <c:spPr>
              <a:solidFill>
                <a:schemeClr val="accent4">
                  <a:lumMod val="60000"/>
                  <a:lumOff val="40000"/>
                </a:schemeClr>
              </a:solidFill>
              <a:ln>
                <a:noFill/>
              </a:ln>
              <a:effectLst/>
              <a:sp3d/>
            </c:spPr>
            <c:extLst>
              <c:ext xmlns:c16="http://schemas.microsoft.com/office/drawing/2014/chart" uri="{C3380CC4-5D6E-409C-BE32-E72D297353CC}">
                <c16:uniqueId val="{00000000-62E7-4400-98F2-44A411525B05}"/>
              </c:ext>
            </c:extLst>
          </c:dPt>
          <c:dPt>
            <c:idx val="1"/>
            <c:invertIfNegative val="0"/>
            <c:bubble3D val="0"/>
            <c:spPr>
              <a:solidFill>
                <a:schemeClr val="accent4">
                  <a:lumMod val="40000"/>
                  <a:lumOff val="60000"/>
                </a:schemeClr>
              </a:solidFill>
              <a:ln>
                <a:noFill/>
              </a:ln>
              <a:effectLst/>
              <a:sp3d/>
            </c:spPr>
            <c:extLst>
              <c:ext xmlns:c16="http://schemas.microsoft.com/office/drawing/2014/chart" uri="{C3380CC4-5D6E-409C-BE32-E72D297353CC}">
                <c16:uniqueId val="{00000001-62E7-4400-98F2-44A411525B05}"/>
              </c:ext>
            </c:extLst>
          </c:dPt>
          <c:dPt>
            <c:idx val="2"/>
            <c:invertIfNegative val="0"/>
            <c:bubble3D val="0"/>
            <c:spPr>
              <a:solidFill>
                <a:schemeClr val="accent4">
                  <a:lumMod val="20000"/>
                  <a:lumOff val="80000"/>
                </a:schemeClr>
              </a:solidFill>
              <a:ln>
                <a:noFill/>
              </a:ln>
              <a:effectLst/>
              <a:sp3d/>
            </c:spPr>
            <c:extLst>
              <c:ext xmlns:c16="http://schemas.microsoft.com/office/drawing/2014/chart" uri="{C3380CC4-5D6E-409C-BE32-E72D297353CC}">
                <c16:uniqueId val="{00000002-62E7-4400-98F2-44A411525B05}"/>
              </c:ext>
            </c:extLst>
          </c:dPt>
          <c:cat>
            <c:strLit>
              <c:ptCount val="3"/>
              <c:pt idx="0">
                <c:v>Full-Time</c:v>
              </c:pt>
              <c:pt idx="1">
                <c:v>Online</c:v>
              </c:pt>
              <c:pt idx="2">
                <c:v>Part-Time</c:v>
              </c:pt>
            </c:strLit>
          </c:cat>
          <c:val>
            <c:numLit>
              <c:formatCode>General</c:formatCode>
              <c:ptCount val="3"/>
              <c:pt idx="0">
                <c:v>164</c:v>
              </c:pt>
              <c:pt idx="1">
                <c:v>75</c:v>
              </c:pt>
              <c:pt idx="2">
                <c:v>61</c:v>
              </c:pt>
            </c:numLit>
          </c:val>
          <c:extLst>
            <c:ext xmlns:c16="http://schemas.microsoft.com/office/drawing/2014/chart" uri="{C3380CC4-5D6E-409C-BE32-E72D297353CC}">
              <c16:uniqueId val="{00000000-35AE-4F21-B56B-0053C0A2E0E6}"/>
            </c:ext>
          </c:extLst>
        </c:ser>
        <c:dLbls>
          <c:showLegendKey val="0"/>
          <c:showVal val="0"/>
          <c:showCatName val="0"/>
          <c:showSerName val="0"/>
          <c:showPercent val="0"/>
          <c:showBubbleSize val="0"/>
        </c:dLbls>
        <c:gapWidth val="150"/>
        <c:shape val="box"/>
        <c:axId val="817705439"/>
        <c:axId val="817702527"/>
        <c:axId val="0"/>
      </c:bar3DChart>
      <c:catAx>
        <c:axId val="8177054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702527"/>
        <c:crosses val="autoZero"/>
        <c:auto val="1"/>
        <c:lblAlgn val="ctr"/>
        <c:lblOffset val="100"/>
        <c:noMultiLvlLbl val="0"/>
      </c:catAx>
      <c:valAx>
        <c:axId val="817702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705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effectLst/>
          <a:sp3d/>
        </c:spPr>
      </c:pivotFmt>
      <c:pivotFmt>
        <c:idx val="4"/>
        <c:spPr>
          <a:solidFill>
            <a:schemeClr val="accent2"/>
          </a:solidFill>
          <a:ln/>
          <a:effectLst/>
          <a:sp3d/>
        </c:spPr>
      </c:pivotFmt>
      <c:pivotFmt>
        <c:idx val="5"/>
        <c:spPr>
          <a:solidFill>
            <a:schemeClr val="accent3"/>
          </a:solidFill>
          <a:ln/>
          <a:effectLst/>
          <a:sp3d/>
        </c:spPr>
      </c:pivotFmt>
      <c:pivotFmt>
        <c:idx val="6"/>
        <c:spPr>
          <a:solidFill>
            <a:schemeClr val="accent4"/>
          </a:solidFill>
          <a:ln/>
          <a:effectLst/>
          <a:sp3d/>
        </c:spPr>
      </c:pivotFmt>
      <c:pivotFmt>
        <c:idx val="7"/>
        <c:spPr>
          <a:solidFill>
            <a:schemeClr val="accent5"/>
          </a:solidFill>
          <a:ln/>
          <a:effectLst/>
          <a:sp3d/>
        </c:spPr>
      </c:pivotFmt>
      <c:pivotFmt>
        <c:idx val="8"/>
        <c:spPr>
          <a:solidFill>
            <a:schemeClr val="accent6"/>
          </a:solidFill>
          <a:ln/>
          <a:effectLst/>
          <a:sp3d/>
        </c:spPr>
      </c:pivotFmt>
      <c:pivotFmt>
        <c:idx val="9"/>
        <c:spPr>
          <a:solidFill>
            <a:schemeClr val="accent2"/>
          </a:solidFill>
          <a:ln/>
          <a:effectLst/>
          <a:sp3d/>
        </c:spPr>
        <c:marker>
          <c:symbol val="none"/>
        </c:marker>
        <c:dLbl>
          <c:idx val="0"/>
          <c:delete val="1"/>
          <c:extLst>
            <c:ext xmlns:c15="http://schemas.microsoft.com/office/drawing/2012/chart" uri="{CE6537A1-D6FC-4f65-9D91-7224C49458BB}"/>
          </c:extLst>
        </c:dLbl>
      </c:pivotFmt>
      <c:pivotFmt>
        <c:idx val="10"/>
        <c:spPr>
          <a:solidFill>
            <a:schemeClr val="accent1"/>
          </a:solidFill>
          <a:ln/>
          <a:effectLst/>
          <a:sp3d/>
        </c:spPr>
        <c:marker>
          <c:symbol val="none"/>
        </c:marker>
        <c:dLbl>
          <c:idx val="0"/>
          <c:delete val="1"/>
          <c:extLst>
            <c:ext xmlns:c15="http://schemas.microsoft.com/office/drawing/2012/chart" uri="{CE6537A1-D6FC-4f65-9D91-7224C49458BB}"/>
          </c:extLst>
        </c:dLbl>
      </c:pivotFmt>
      <c:pivotFmt>
        <c:idx val="11"/>
        <c:spPr>
          <a:solidFill>
            <a:schemeClr val="accent4">
              <a:lumMod val="75000"/>
            </a:schemeClr>
          </a:solidFill>
          <a:ln/>
          <a:effectLst/>
          <a:sp3d/>
        </c:spPr>
      </c:pivotFmt>
      <c:pivotFmt>
        <c:idx val="12"/>
        <c:spPr>
          <a:solidFill>
            <a:schemeClr val="accent4">
              <a:lumMod val="40000"/>
              <a:lumOff val="60000"/>
            </a:schemeClr>
          </a:solidFill>
          <a:ln/>
          <a:effectLst/>
          <a:sp3d/>
        </c:spPr>
      </c:pivotFmt>
      <c:pivotFmt>
        <c:idx val="13"/>
        <c:spPr>
          <a:solidFill>
            <a:schemeClr val="accent4">
              <a:lumMod val="50000"/>
            </a:schemeClr>
          </a:solidFill>
          <a:ln/>
          <a:effectLst/>
          <a:sp3d/>
        </c:spPr>
      </c:pivotFmt>
      <c:pivotFmt>
        <c:idx val="14"/>
        <c:spPr>
          <a:solidFill>
            <a:schemeClr val="accent4"/>
          </a:solidFill>
          <a:ln/>
          <a:effectLst/>
          <a:sp3d/>
        </c:spPr>
      </c:pivotFmt>
      <c:pivotFmt>
        <c:idx val="15"/>
        <c:spPr>
          <a:solidFill>
            <a:schemeClr val="accent5"/>
          </a:solidFill>
          <a:ln/>
          <a:effectLst/>
          <a:sp3d/>
        </c:spPr>
      </c:pivotFmt>
      <c:pivotFmt>
        <c:idx val="16"/>
        <c:spPr>
          <a:solidFill>
            <a:schemeClr val="accent6"/>
          </a:solidFill>
          <a:ln/>
          <a:effectLst/>
          <a:sp3d/>
        </c:spPr>
      </c:pivotFmt>
      <c:pivotFmt>
        <c:idx val="17"/>
        <c:spPr>
          <a:solidFill>
            <a:schemeClr val="accent2"/>
          </a:solidFill>
          <a:ln/>
          <a:effectLst/>
          <a:sp3d/>
        </c:spPr>
        <c:marker>
          <c:symbol val="none"/>
        </c:marker>
        <c:dLbl>
          <c:idx val="0"/>
          <c:delete val="1"/>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956474190726158"/>
          <c:y val="0.2572178477690289"/>
          <c:w val="0.54959470691163603"/>
          <c:h val="0.38526319626713329"/>
        </c:manualLayout>
      </c:layout>
      <c:surface3DChart>
        <c:wireframe val="0"/>
        <c:ser>
          <c:idx val="0"/>
          <c:order val="0"/>
          <c:tx>
            <c:v>Female</c:v>
          </c:tx>
          <c:spPr>
            <a:solidFill>
              <a:schemeClr val="accent1"/>
            </a:solidFill>
            <a:ln/>
            <a:effectLst/>
            <a:sp3d/>
          </c:spPr>
          <c:cat>
            <c:strLit>
              <c:ptCount val="6"/>
              <c:pt idx="0">
                <c:v>Business Administration</c:v>
              </c:pt>
              <c:pt idx="1">
                <c:v>Computer Science</c:v>
              </c:pt>
              <c:pt idx="2">
                <c:v>Data Science</c:v>
              </c:pt>
              <c:pt idx="3">
                <c:v>Economics</c:v>
              </c:pt>
              <c:pt idx="4">
                <c:v>Engineering</c:v>
              </c:pt>
              <c:pt idx="5">
                <c:v>Public Health</c:v>
              </c:pt>
            </c:strLit>
          </c:cat>
          <c:val>
            <c:numLit>
              <c:formatCode>General</c:formatCode>
              <c:ptCount val="6"/>
              <c:pt idx="0">
                <c:v>29</c:v>
              </c:pt>
              <c:pt idx="1">
                <c:v>47</c:v>
              </c:pt>
              <c:pt idx="2">
                <c:v>29</c:v>
              </c:pt>
              <c:pt idx="3">
                <c:v>15</c:v>
              </c:pt>
              <c:pt idx="4">
                <c:v>23</c:v>
              </c:pt>
              <c:pt idx="5">
                <c:v>13</c:v>
              </c:pt>
            </c:numLit>
          </c:val>
          <c:extLst>
            <c:ext xmlns:c16="http://schemas.microsoft.com/office/drawing/2014/chart" uri="{C3380CC4-5D6E-409C-BE32-E72D297353CC}">
              <c16:uniqueId val="{00000000-D54B-46E3-A763-4AADBFA137CE}"/>
            </c:ext>
          </c:extLst>
        </c:ser>
        <c:ser>
          <c:idx val="1"/>
          <c:order val="1"/>
          <c:tx>
            <c:v>Male</c:v>
          </c:tx>
          <c:spPr>
            <a:solidFill>
              <a:schemeClr val="accent2"/>
            </a:solidFill>
            <a:ln/>
            <a:effectLst/>
            <a:sp3d/>
          </c:spPr>
          <c:cat>
            <c:strLit>
              <c:ptCount val="6"/>
              <c:pt idx="0">
                <c:v>Business Administration</c:v>
              </c:pt>
              <c:pt idx="1">
                <c:v>Computer Science</c:v>
              </c:pt>
              <c:pt idx="2">
                <c:v>Data Science</c:v>
              </c:pt>
              <c:pt idx="3">
                <c:v>Economics</c:v>
              </c:pt>
              <c:pt idx="4">
                <c:v>Engineering</c:v>
              </c:pt>
              <c:pt idx="5">
                <c:v>Public Health</c:v>
              </c:pt>
            </c:strLit>
          </c:cat>
          <c:val>
            <c:numLit>
              <c:formatCode>General</c:formatCode>
              <c:ptCount val="6"/>
              <c:pt idx="0">
                <c:v>24</c:v>
              </c:pt>
              <c:pt idx="1">
                <c:v>32</c:v>
              </c:pt>
              <c:pt idx="2">
                <c:v>36</c:v>
              </c:pt>
              <c:pt idx="3">
                <c:v>13</c:v>
              </c:pt>
              <c:pt idx="4">
                <c:v>14</c:v>
              </c:pt>
              <c:pt idx="5">
                <c:v>25</c:v>
              </c:pt>
            </c:numLit>
          </c:val>
          <c:extLst>
            <c:ext xmlns:c16="http://schemas.microsoft.com/office/drawing/2014/chart" uri="{C3380CC4-5D6E-409C-BE32-E72D297353CC}">
              <c16:uniqueId val="{00000001-D54B-46E3-A763-4AADBFA137CE}"/>
            </c:ext>
          </c:extLst>
        </c:ser>
        <c:bandFmts>
          <c:bandFmt>
            <c:idx val="0"/>
            <c:spPr>
              <a:solidFill>
                <a:schemeClr val="accent4">
                  <a:lumMod val="75000"/>
                </a:schemeClr>
              </a:solidFill>
              <a:ln/>
              <a:effectLst/>
              <a:sp3d/>
            </c:spPr>
          </c:bandFmt>
          <c:bandFmt>
            <c:idx val="1"/>
            <c:spPr>
              <a:solidFill>
                <a:schemeClr val="accent4">
                  <a:lumMod val="40000"/>
                  <a:lumOff val="60000"/>
                </a:schemeClr>
              </a:solidFill>
              <a:ln/>
              <a:effectLst/>
              <a:sp3d/>
            </c:spPr>
          </c:bandFmt>
          <c:bandFmt>
            <c:idx val="2"/>
            <c:spPr>
              <a:solidFill>
                <a:schemeClr val="accent4">
                  <a:lumMod val="50000"/>
                </a:schemeClr>
              </a:solidFill>
              <a:ln/>
              <a:effectLst/>
              <a:sp3d/>
            </c:spPr>
          </c:bandFmt>
          <c:bandFmt>
            <c:idx val="3"/>
            <c:spPr>
              <a:solidFill>
                <a:schemeClr val="accent4"/>
              </a:solidFill>
              <a:ln/>
              <a:effectLst/>
              <a:sp3d/>
            </c:spPr>
          </c:bandFmt>
          <c:bandFmt>
            <c:idx val="4"/>
            <c:spPr>
              <a:solidFill>
                <a:schemeClr val="accent5"/>
              </a:solidFill>
              <a:ln/>
              <a:effectLst/>
              <a:sp3d/>
            </c:spPr>
          </c:bandFmt>
          <c:bandFmt>
            <c:idx val="5"/>
            <c:spPr>
              <a:solidFill>
                <a:schemeClr val="accent6"/>
              </a:solidFill>
              <a:ln/>
              <a:effectLst/>
              <a:sp3d/>
            </c:spPr>
          </c:bandFmt>
        </c:bandFmts>
        <c:axId val="359248799"/>
        <c:axId val="359254207"/>
        <c:axId val="45485855"/>
      </c:surface3DChart>
      <c:catAx>
        <c:axId val="3592487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254207"/>
        <c:crosses val="autoZero"/>
        <c:auto val="1"/>
        <c:lblAlgn val="ctr"/>
        <c:lblOffset val="100"/>
        <c:noMultiLvlLbl val="0"/>
      </c:catAx>
      <c:valAx>
        <c:axId val="359254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248799"/>
        <c:crosses val="autoZero"/>
        <c:crossBetween val="midCat"/>
      </c:valAx>
      <c:serAx>
        <c:axId val="45485855"/>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254207"/>
        <c:crosses val="autoZero"/>
      </c:serAx>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a:sp3d/>
        </c:spPr>
      </c:pivotFmt>
      <c:pivotFmt>
        <c:idx val="4"/>
        <c:spPr>
          <a:solidFill>
            <a:schemeClr val="accent4">
              <a:lumMod val="20000"/>
              <a:lumOff val="80000"/>
            </a:schemeClr>
          </a:solidFill>
          <a:ln>
            <a:noFill/>
          </a:ln>
          <a:effectLst/>
          <a:sp3d/>
        </c:spPr>
      </c:pivotFmt>
      <c:pivotFmt>
        <c:idx val="5"/>
        <c:spPr>
          <a:solidFill>
            <a:schemeClr val="accent4">
              <a:lumMod val="40000"/>
              <a:lumOff val="60000"/>
            </a:schemeClr>
          </a:solidFill>
          <a:ln>
            <a:noFill/>
          </a:ln>
          <a:effectLst/>
          <a:sp3d/>
        </c:spPr>
      </c:pivotFmt>
      <c:pivotFmt>
        <c:idx val="6"/>
        <c:spPr>
          <a:solidFill>
            <a:schemeClr val="accent4">
              <a:lumMod val="40000"/>
              <a:lumOff val="60000"/>
            </a:schemeClr>
          </a:solidFill>
          <a:ln>
            <a:noFill/>
          </a:ln>
          <a:effectLst/>
          <a:sp3d/>
        </c:spPr>
      </c:pivotFmt>
      <c:pivotFmt>
        <c:idx val="7"/>
        <c:spPr>
          <a:solidFill>
            <a:schemeClr val="accent4">
              <a:lumMod val="75000"/>
            </a:schemeClr>
          </a:solidFill>
          <a:ln>
            <a:noFill/>
          </a:ln>
          <a:effectLst/>
          <a:sp3d/>
        </c:spPr>
      </c:pivotFmt>
      <c:pivotFmt>
        <c:idx val="8"/>
        <c:spPr>
          <a:solidFill>
            <a:schemeClr val="accent4">
              <a:lumMod val="50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v>Total</c:v>
          </c:tx>
          <c:spPr>
            <a:solidFill>
              <a:schemeClr val="accent1"/>
            </a:solidFill>
            <a:ln>
              <a:noFill/>
            </a:ln>
            <a:effectLst/>
            <a:sp3d/>
          </c:spPr>
          <c:invertIfNegative val="0"/>
          <c:dPt>
            <c:idx val="0"/>
            <c:invertIfNegative val="0"/>
            <c:bubble3D val="0"/>
            <c:spPr>
              <a:solidFill>
                <a:schemeClr val="accent4">
                  <a:lumMod val="50000"/>
                </a:schemeClr>
              </a:solidFill>
              <a:ln>
                <a:noFill/>
              </a:ln>
              <a:effectLst/>
              <a:sp3d/>
            </c:spPr>
            <c:extLst>
              <c:ext xmlns:c16="http://schemas.microsoft.com/office/drawing/2014/chart" uri="{C3380CC4-5D6E-409C-BE32-E72D297353CC}">
                <c16:uniqueId val="{00000005-FBD8-400C-93EE-2F6D2026E325}"/>
              </c:ext>
            </c:extLst>
          </c:dPt>
          <c:dPt>
            <c:idx val="1"/>
            <c:invertIfNegative val="0"/>
            <c:bubble3D val="0"/>
            <c:spPr>
              <a:solidFill>
                <a:schemeClr val="accent4">
                  <a:lumMod val="75000"/>
                </a:schemeClr>
              </a:solidFill>
              <a:ln>
                <a:noFill/>
              </a:ln>
              <a:effectLst/>
              <a:sp3d/>
            </c:spPr>
            <c:extLst>
              <c:ext xmlns:c16="http://schemas.microsoft.com/office/drawing/2014/chart" uri="{C3380CC4-5D6E-409C-BE32-E72D297353CC}">
                <c16:uniqueId val="{00000004-FBD8-400C-93EE-2F6D2026E325}"/>
              </c:ext>
            </c:extLst>
          </c:dPt>
          <c:dPt>
            <c:idx val="2"/>
            <c:invertIfNegative val="0"/>
            <c:bubble3D val="0"/>
            <c:spPr>
              <a:solidFill>
                <a:schemeClr val="accent4">
                  <a:lumMod val="40000"/>
                  <a:lumOff val="60000"/>
                </a:schemeClr>
              </a:solidFill>
              <a:ln>
                <a:noFill/>
              </a:ln>
              <a:effectLst/>
              <a:sp3d/>
            </c:spPr>
            <c:extLst>
              <c:ext xmlns:c16="http://schemas.microsoft.com/office/drawing/2014/chart" uri="{C3380CC4-5D6E-409C-BE32-E72D297353CC}">
                <c16:uniqueId val="{00000003-FBD8-400C-93EE-2F6D2026E325}"/>
              </c:ext>
            </c:extLst>
          </c:dPt>
          <c:dPt>
            <c:idx val="3"/>
            <c:invertIfNegative val="0"/>
            <c:bubble3D val="0"/>
            <c:spPr>
              <a:solidFill>
                <a:schemeClr val="accent4">
                  <a:lumMod val="40000"/>
                  <a:lumOff val="60000"/>
                </a:schemeClr>
              </a:solidFill>
              <a:ln>
                <a:noFill/>
              </a:ln>
              <a:effectLst/>
              <a:sp3d/>
            </c:spPr>
            <c:extLst>
              <c:ext xmlns:c16="http://schemas.microsoft.com/office/drawing/2014/chart" uri="{C3380CC4-5D6E-409C-BE32-E72D297353CC}">
                <c16:uniqueId val="{00000002-FBD8-400C-93EE-2F6D2026E325}"/>
              </c:ext>
            </c:extLst>
          </c:dPt>
          <c:dPt>
            <c:idx val="4"/>
            <c:invertIfNegative val="0"/>
            <c:bubble3D val="0"/>
            <c:spPr>
              <a:solidFill>
                <a:schemeClr val="accent4">
                  <a:lumMod val="20000"/>
                  <a:lumOff val="80000"/>
                </a:schemeClr>
              </a:solidFill>
              <a:ln>
                <a:noFill/>
              </a:ln>
              <a:effectLst/>
              <a:sp3d/>
            </c:spPr>
            <c:extLst>
              <c:ext xmlns:c16="http://schemas.microsoft.com/office/drawing/2014/chart" uri="{C3380CC4-5D6E-409C-BE32-E72D297353CC}">
                <c16:uniqueId val="{00000001-FBD8-400C-93EE-2F6D2026E325}"/>
              </c:ext>
            </c:extLst>
          </c:dPt>
          <c:dPt>
            <c:idx val="5"/>
            <c:invertIfNegative val="0"/>
            <c:bubble3D val="0"/>
            <c:spPr>
              <a:solidFill>
                <a:schemeClr val="accent4"/>
              </a:solidFill>
              <a:ln>
                <a:noFill/>
              </a:ln>
              <a:effectLst/>
              <a:sp3d/>
            </c:spPr>
            <c:extLst>
              <c:ext xmlns:c16="http://schemas.microsoft.com/office/drawing/2014/chart" uri="{C3380CC4-5D6E-409C-BE32-E72D297353CC}">
                <c16:uniqueId val="{00000000-FBD8-400C-93EE-2F6D2026E325}"/>
              </c:ext>
            </c:extLst>
          </c:dPt>
          <c:cat>
            <c:strLit>
              <c:ptCount val="6"/>
              <c:pt idx="0">
                <c:v>Business Administration</c:v>
              </c:pt>
              <c:pt idx="1">
                <c:v>Computer Science</c:v>
              </c:pt>
              <c:pt idx="2">
                <c:v>Data Science</c:v>
              </c:pt>
              <c:pt idx="3">
                <c:v>Economics</c:v>
              </c:pt>
              <c:pt idx="4">
                <c:v>Engineering</c:v>
              </c:pt>
              <c:pt idx="5">
                <c:v>Public Health</c:v>
              </c:pt>
            </c:strLit>
          </c:cat>
          <c:val>
            <c:numLit>
              <c:formatCode>General</c:formatCode>
              <c:ptCount val="6"/>
              <c:pt idx="0">
                <c:v>53</c:v>
              </c:pt>
              <c:pt idx="1">
                <c:v>79</c:v>
              </c:pt>
              <c:pt idx="2">
                <c:v>65</c:v>
              </c:pt>
              <c:pt idx="3">
                <c:v>28</c:v>
              </c:pt>
              <c:pt idx="4">
                <c:v>37</c:v>
              </c:pt>
              <c:pt idx="5">
                <c:v>38</c:v>
              </c:pt>
            </c:numLit>
          </c:val>
          <c:extLst>
            <c:ext xmlns:c16="http://schemas.microsoft.com/office/drawing/2014/chart" uri="{C3380CC4-5D6E-409C-BE32-E72D297353CC}">
              <c16:uniqueId val="{00000000-7058-4EB2-A517-EF29B5861D81}"/>
            </c:ext>
          </c:extLst>
        </c:ser>
        <c:dLbls>
          <c:showLegendKey val="0"/>
          <c:showVal val="0"/>
          <c:showCatName val="0"/>
          <c:showSerName val="0"/>
          <c:showPercent val="0"/>
          <c:showBubbleSize val="0"/>
        </c:dLbls>
        <c:gapWidth val="150"/>
        <c:shape val="box"/>
        <c:axId val="817710015"/>
        <c:axId val="817700863"/>
        <c:axId val="0"/>
      </c:bar3DChart>
      <c:catAx>
        <c:axId val="8177100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700863"/>
        <c:crosses val="autoZero"/>
        <c:auto val="1"/>
        <c:lblAlgn val="ctr"/>
        <c:lblOffset val="100"/>
        <c:noMultiLvlLbl val="0"/>
      </c:catAx>
      <c:valAx>
        <c:axId val="8177008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710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[Excel_Project_Datasets_23_Assigned_Students_MORE_BLANKS_Abba_Muxidiin_Enrollment2222233344.xlsx]PivotGender!PivotTable1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GENDER</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PivotGender!$B$3</c:f>
              <c:strCache>
                <c:ptCount val="1"/>
                <c:pt idx="0">
                  <c:v>Total</c:v>
                </c:pt>
              </c:strCache>
            </c:strRef>
          </c:tx>
          <c:spPr>
            <a:solidFill>
              <a:schemeClr val="accent1"/>
            </a:solidFill>
            <a:ln>
              <a:noFill/>
            </a:ln>
            <a:effectLst/>
          </c:spPr>
          <c:invertIfNegative val="0"/>
          <c:cat>
            <c:strRef>
              <c:f>PivotGender!$A$4:$A$7</c:f>
              <c:strCache>
                <c:ptCount val="3"/>
                <c:pt idx="0">
                  <c:v>Female</c:v>
                </c:pt>
                <c:pt idx="1">
                  <c:v>Male</c:v>
                </c:pt>
                <c:pt idx="2">
                  <c:v>non_gender </c:v>
                </c:pt>
              </c:strCache>
            </c:strRef>
          </c:cat>
          <c:val>
            <c:numRef>
              <c:f>PivotGender!$B$4:$B$7</c:f>
              <c:numCache>
                <c:formatCode>General</c:formatCode>
                <c:ptCount val="3"/>
                <c:pt idx="0">
                  <c:v>148</c:v>
                </c:pt>
                <c:pt idx="1">
                  <c:v>136</c:v>
                </c:pt>
                <c:pt idx="2">
                  <c:v>16</c:v>
                </c:pt>
              </c:numCache>
            </c:numRef>
          </c:val>
          <c:extLst>
            <c:ext xmlns:c16="http://schemas.microsoft.com/office/drawing/2014/chart" uri="{C3380CC4-5D6E-409C-BE32-E72D297353CC}">
              <c16:uniqueId val="{00000000-A3AA-49B4-B3F4-42D89411D0A4}"/>
            </c:ext>
          </c:extLst>
        </c:ser>
        <c:dLbls>
          <c:showLegendKey val="0"/>
          <c:showVal val="0"/>
          <c:showCatName val="0"/>
          <c:showSerName val="0"/>
          <c:showPercent val="0"/>
          <c:showBubbleSize val="0"/>
        </c:dLbls>
        <c:gapWidth val="219"/>
        <c:overlap val="-27"/>
        <c:axId val="251098031"/>
        <c:axId val="1912350319"/>
      </c:barChart>
      <c:catAx>
        <c:axId val="251098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350319"/>
        <c:crosses val="autoZero"/>
        <c:auto val="1"/>
        <c:lblAlgn val="ctr"/>
        <c:lblOffset val="100"/>
        <c:noMultiLvlLbl val="0"/>
      </c:catAx>
      <c:valAx>
        <c:axId val="1912350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098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[Excel_Project_Datasets_23_Assigned_Students_MORE_BLANKS_Abba_Muxidiin_Enrollment2222233344.xlsx]PivotProgram!PivotTable2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PROGRAM</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PivotProgram!$B$3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cat>
            <c:strRef>
              <c:f>PivotProgram!$A$4:$A$11</c:f>
              <c:strCache>
                <c:ptCount val="7"/>
                <c:pt idx="0">
                  <c:v>Business Administration</c:v>
                </c:pt>
                <c:pt idx="1">
                  <c:v>Computer Science</c:v>
                </c:pt>
                <c:pt idx="2">
                  <c:v>Data Science</c:v>
                </c:pt>
                <c:pt idx="3">
                  <c:v>Economics</c:v>
                </c:pt>
                <c:pt idx="4">
                  <c:v>Engineering</c:v>
                </c:pt>
                <c:pt idx="5">
                  <c:v>non_program</c:v>
                </c:pt>
                <c:pt idx="6">
                  <c:v>Public Health</c:v>
                </c:pt>
              </c:strCache>
            </c:strRef>
          </c:cat>
          <c:val>
            <c:numRef>
              <c:f>PivotProgram!$B$4:$B$11</c:f>
              <c:numCache>
                <c:formatCode>General</c:formatCode>
                <c:ptCount val="7"/>
                <c:pt idx="0">
                  <c:v>47</c:v>
                </c:pt>
                <c:pt idx="1">
                  <c:v>74</c:v>
                </c:pt>
                <c:pt idx="2">
                  <c:v>65</c:v>
                </c:pt>
                <c:pt idx="3">
                  <c:v>25</c:v>
                </c:pt>
                <c:pt idx="4">
                  <c:v>37</c:v>
                </c:pt>
                <c:pt idx="5">
                  <c:v>17</c:v>
                </c:pt>
                <c:pt idx="6">
                  <c:v>35</c:v>
                </c:pt>
              </c:numCache>
            </c:numRef>
          </c:val>
          <c:extLst>
            <c:ext xmlns:c16="http://schemas.microsoft.com/office/drawing/2014/chart" uri="{C3380CC4-5D6E-409C-BE32-E72D297353CC}">
              <c16:uniqueId val="{00000000-38D4-4275-BFCF-717B7D4C329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[Excel_Project_Datasets_23_Assigned_Students_MORE_BLANKS_Abba_Muxidiin_Enrollment2222233344.xlsx]PivotEnrollment_status!PivotTable3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Study_mode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PivotEnrollment_status!$B$3</c:f>
              <c:strCache>
                <c:ptCount val="1"/>
                <c:pt idx="0">
                  <c:v>Total</c:v>
                </c:pt>
              </c:strCache>
            </c:strRef>
          </c:tx>
          <c:spPr>
            <a:solidFill>
              <a:schemeClr val="accent1"/>
            </a:solidFill>
            <a:ln>
              <a:noFill/>
            </a:ln>
            <a:effectLst/>
          </c:spPr>
          <c:invertIfNegative val="0"/>
          <c:cat>
            <c:strRef>
              <c:f>PivotEnrollment_status!$A$4:$A$9</c:f>
              <c:strCache>
                <c:ptCount val="5"/>
                <c:pt idx="0">
                  <c:v>Active</c:v>
                </c:pt>
                <c:pt idx="1">
                  <c:v>Deferred</c:v>
                </c:pt>
                <c:pt idx="2">
                  <c:v>Graduated</c:v>
                </c:pt>
                <c:pt idx="3">
                  <c:v>non_status</c:v>
                </c:pt>
                <c:pt idx="4">
                  <c:v>Withdrawn</c:v>
                </c:pt>
              </c:strCache>
            </c:strRef>
          </c:cat>
          <c:val>
            <c:numRef>
              <c:f>PivotEnrollment_status!$B$4:$B$9</c:f>
              <c:numCache>
                <c:formatCode>General</c:formatCode>
                <c:ptCount val="5"/>
                <c:pt idx="0">
                  <c:v>175</c:v>
                </c:pt>
                <c:pt idx="1">
                  <c:v>27</c:v>
                </c:pt>
                <c:pt idx="2">
                  <c:v>64</c:v>
                </c:pt>
                <c:pt idx="3">
                  <c:v>18</c:v>
                </c:pt>
                <c:pt idx="4">
                  <c:v>16</c:v>
                </c:pt>
              </c:numCache>
            </c:numRef>
          </c:val>
          <c:extLst>
            <c:ext xmlns:c16="http://schemas.microsoft.com/office/drawing/2014/chart" uri="{C3380CC4-5D6E-409C-BE32-E72D297353CC}">
              <c16:uniqueId val="{00000000-BF05-487F-ABCA-9AC07D11514E}"/>
            </c:ext>
          </c:extLst>
        </c:ser>
        <c:dLbls>
          <c:showLegendKey val="0"/>
          <c:showVal val="0"/>
          <c:showCatName val="0"/>
          <c:showSerName val="0"/>
          <c:showPercent val="0"/>
          <c:showBubbleSize val="0"/>
        </c:dLbls>
        <c:gapWidth val="182"/>
        <c:axId val="251117983"/>
        <c:axId val="1912329199"/>
      </c:barChart>
      <c:catAx>
        <c:axId val="251117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329199"/>
        <c:crosses val="autoZero"/>
        <c:auto val="1"/>
        <c:lblAlgn val="ctr"/>
        <c:lblOffset val="100"/>
        <c:noMultiLvlLbl val="0"/>
      </c:catAx>
      <c:valAx>
        <c:axId val="19123291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117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[Excel_Project_Datasets_23_Assigned_Students_MORE_BLANKS_Abba_Muxidiin_Enrollment2222233344.xlsx]PivotTuitionByProgram!PivotTable4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TUITION</a:t>
            </a:r>
            <a:r>
              <a:rPr lang="en-US" baseline="0"/>
              <a:t> BY PROGRAM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PivotTuitionByProgram!$B$3</c:f>
              <c:strCache>
                <c:ptCount val="1"/>
                <c:pt idx="0">
                  <c:v>Total</c:v>
                </c:pt>
              </c:strCache>
            </c:strRef>
          </c:tx>
          <c:spPr>
            <a:solidFill>
              <a:schemeClr val="accent1"/>
            </a:solidFill>
            <a:ln>
              <a:noFill/>
            </a:ln>
            <a:effectLst/>
            <a:sp3d/>
          </c:spPr>
          <c:invertIfNegative val="0"/>
          <c:cat>
            <c:strRef>
              <c:f>PivotTuitionByProgram!$A$4:$A$11</c:f>
              <c:strCache>
                <c:ptCount val="7"/>
                <c:pt idx="0">
                  <c:v>Business Administration</c:v>
                </c:pt>
                <c:pt idx="1">
                  <c:v>Computer Science</c:v>
                </c:pt>
                <c:pt idx="2">
                  <c:v>Data Science</c:v>
                </c:pt>
                <c:pt idx="3">
                  <c:v>Economics</c:v>
                </c:pt>
                <c:pt idx="4">
                  <c:v>Engineering</c:v>
                </c:pt>
                <c:pt idx="5">
                  <c:v>non_program</c:v>
                </c:pt>
                <c:pt idx="6">
                  <c:v>Public Health</c:v>
                </c:pt>
              </c:strCache>
            </c:strRef>
          </c:cat>
          <c:val>
            <c:numRef>
              <c:f>PivotTuitionByProgram!$B$4:$B$11</c:f>
              <c:numCache>
                <c:formatCode>_("$"* #,##0.00_);_("$"* \(#,##0.00\);_("$"* "-"??_);_(@_)</c:formatCode>
                <c:ptCount val="7"/>
                <c:pt idx="0">
                  <c:v>36617.5</c:v>
                </c:pt>
                <c:pt idx="1">
                  <c:v>68526.92</c:v>
                </c:pt>
                <c:pt idx="2">
                  <c:v>65662.73</c:v>
                </c:pt>
                <c:pt idx="3">
                  <c:v>19402.25</c:v>
                </c:pt>
                <c:pt idx="4">
                  <c:v>42936.93</c:v>
                </c:pt>
                <c:pt idx="5">
                  <c:v>17318.409999999996</c:v>
                </c:pt>
                <c:pt idx="6">
                  <c:v>30457.95</c:v>
                </c:pt>
              </c:numCache>
            </c:numRef>
          </c:val>
          <c:extLst>
            <c:ext xmlns:c16="http://schemas.microsoft.com/office/drawing/2014/chart" uri="{C3380CC4-5D6E-409C-BE32-E72D297353CC}">
              <c16:uniqueId val="{00000000-632E-4B8B-8002-E68D2AD97FAF}"/>
            </c:ext>
          </c:extLst>
        </c:ser>
        <c:dLbls>
          <c:showLegendKey val="0"/>
          <c:showVal val="0"/>
          <c:showCatName val="0"/>
          <c:showSerName val="0"/>
          <c:showPercent val="0"/>
          <c:showBubbleSize val="0"/>
        </c:dLbls>
        <c:gapWidth val="150"/>
        <c:shape val="box"/>
        <c:axId val="1909267343"/>
        <c:axId val="1912355599"/>
        <c:axId val="0"/>
      </c:bar3DChart>
      <c:catAx>
        <c:axId val="19092673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355599"/>
        <c:crosses val="autoZero"/>
        <c:auto val="1"/>
        <c:lblAlgn val="ctr"/>
        <c:lblOffset val="100"/>
        <c:noMultiLvlLbl val="0"/>
      </c:catAx>
      <c:valAx>
        <c:axId val="1912355599"/>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267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[Excel_Project_Datasets_23_Assigned_Students_MORE_BLANKS_Abba_Muxidiin_Enrollment2222233344.xlsx]PivotStady_mode!PivotTable5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PivotStady_mode!$B$3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PivotStady_mode!$A$4:$A$8</c:f>
              <c:strCache>
                <c:ptCount val="4"/>
                <c:pt idx="0">
                  <c:v>Full-Time</c:v>
                </c:pt>
                <c:pt idx="1">
                  <c:v>non_stady_mode</c:v>
                </c:pt>
                <c:pt idx="2">
                  <c:v>Online</c:v>
                </c:pt>
                <c:pt idx="3">
                  <c:v>Part-Time</c:v>
                </c:pt>
              </c:strCache>
            </c:strRef>
          </c:cat>
          <c:val>
            <c:numRef>
              <c:f>PivotStady_mode!$B$4:$B$8</c:f>
              <c:numCache>
                <c:formatCode>General</c:formatCode>
                <c:ptCount val="4"/>
                <c:pt idx="0">
                  <c:v>162</c:v>
                </c:pt>
                <c:pt idx="1">
                  <c:v>19</c:v>
                </c:pt>
                <c:pt idx="2">
                  <c:v>60</c:v>
                </c:pt>
                <c:pt idx="3">
                  <c:v>59</c:v>
                </c:pt>
              </c:numCache>
            </c:numRef>
          </c:val>
          <c:extLst>
            <c:ext xmlns:c16="http://schemas.microsoft.com/office/drawing/2014/chart" uri="{C3380CC4-5D6E-409C-BE32-E72D297353CC}">
              <c16:uniqueId val="{00000000-6445-4683-975A-8B9012F3496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[Excel_Project_Datasets_23_Assigned_Students_MORE_BLANKS_Abba_Muxidiin_Enrollment2222233344.xlsx]PivotEnrollment_date!PivotTable17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ENROLLMENT</a:t>
            </a:r>
            <a:r>
              <a:rPr lang="en-US" baseline="0"/>
              <a:t> DATE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PivotEnrollment_date!$B$3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PivotEnrollment_date!$A$4:$A$14</c:f>
              <c:strCache>
                <c:ptCount val="10"/>
                <c:pt idx="0">
                  <c:v>#VALUE!</c:v>
                </c:pt>
                <c:pt idx="1">
                  <c:v>1</c:v>
                </c:pt>
                <c:pt idx="2">
                  <c:v>11</c:v>
                </c:pt>
                <c:pt idx="3">
                  <c:v>12</c:v>
                </c:pt>
                <c:pt idx="4">
                  <c:v>2</c:v>
                </c:pt>
                <c:pt idx="5">
                  <c:v>3</c:v>
                </c:pt>
                <c:pt idx="6">
                  <c:v>5</c:v>
                </c:pt>
                <c:pt idx="7">
                  <c:v>6</c:v>
                </c:pt>
                <c:pt idx="8">
                  <c:v>7</c:v>
                </c:pt>
                <c:pt idx="9">
                  <c:v>8</c:v>
                </c:pt>
              </c:strCache>
            </c:strRef>
          </c:cat>
          <c:val>
            <c:numRef>
              <c:f>PivotEnrollment_date!$B$4:$B$14</c:f>
              <c:numCache>
                <c:formatCode>General</c:formatCode>
                <c:ptCount val="10"/>
                <c:pt idx="0">
                  <c:v>18</c:v>
                </c:pt>
                <c:pt idx="1">
                  <c:v>26</c:v>
                </c:pt>
                <c:pt idx="2">
                  <c:v>23</c:v>
                </c:pt>
                <c:pt idx="3">
                  <c:v>34</c:v>
                </c:pt>
                <c:pt idx="4">
                  <c:v>20</c:v>
                </c:pt>
                <c:pt idx="5">
                  <c:v>6</c:v>
                </c:pt>
                <c:pt idx="6">
                  <c:v>10</c:v>
                </c:pt>
                <c:pt idx="7">
                  <c:v>55</c:v>
                </c:pt>
                <c:pt idx="8">
                  <c:v>78</c:v>
                </c:pt>
                <c:pt idx="9">
                  <c:v>30</c:v>
                </c:pt>
              </c:numCache>
            </c:numRef>
          </c:val>
          <c:smooth val="0"/>
          <c:extLst>
            <c:ext xmlns:c16="http://schemas.microsoft.com/office/drawing/2014/chart" uri="{C3380CC4-5D6E-409C-BE32-E72D297353CC}">
              <c16:uniqueId val="{00000000-7118-46FB-8CE8-A7735DFDFDB0}"/>
            </c:ext>
          </c:extLst>
        </c:ser>
        <c:dLbls>
          <c:dLblPos val="t"/>
          <c:showLegendKey val="0"/>
          <c:showVal val="1"/>
          <c:showCatName val="0"/>
          <c:showSerName val="0"/>
          <c:showPercent val="0"/>
          <c:showBubbleSize val="0"/>
        </c:dLbls>
        <c:marker val="1"/>
        <c:smooth val="0"/>
        <c:axId val="243119519"/>
        <c:axId val="1912318639"/>
      </c:lineChart>
      <c:catAx>
        <c:axId val="243119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318639"/>
        <c:crosses val="autoZero"/>
        <c:auto val="1"/>
        <c:lblAlgn val="ctr"/>
        <c:lblOffset val="100"/>
        <c:noMultiLvlLbl val="0"/>
      </c:catAx>
      <c:valAx>
        <c:axId val="1912318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119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[Excel_Project_Datasets_23_Assigned_Students_MORE_BLANKS_Abba_Muxidiin_Enrollment2222233344.xlsx]PivotErollment_status!PivotTable20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ENROLLMENT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PivotErollment_status!$B$3</c:f>
              <c:strCache>
                <c:ptCount val="1"/>
                <c:pt idx="0">
                  <c:v>Total</c:v>
                </c:pt>
              </c:strCache>
            </c:strRef>
          </c:tx>
          <c:spPr>
            <a:solidFill>
              <a:schemeClr val="accent1"/>
            </a:solidFill>
            <a:ln>
              <a:noFill/>
            </a:ln>
            <a:effectLst/>
            <a:sp3d/>
          </c:spPr>
          <c:invertIfNegative val="0"/>
          <c:cat>
            <c:strRef>
              <c:f>PivotErollment_status!$A$4:$A$9</c:f>
              <c:strCache>
                <c:ptCount val="5"/>
                <c:pt idx="0">
                  <c:v>Active</c:v>
                </c:pt>
                <c:pt idx="1">
                  <c:v>Deferred</c:v>
                </c:pt>
                <c:pt idx="2">
                  <c:v>Graduated</c:v>
                </c:pt>
                <c:pt idx="3">
                  <c:v>non_status</c:v>
                </c:pt>
                <c:pt idx="4">
                  <c:v>Withdrawn</c:v>
                </c:pt>
              </c:strCache>
            </c:strRef>
          </c:cat>
          <c:val>
            <c:numRef>
              <c:f>PivotErollment_status!$B$4:$B$9</c:f>
              <c:numCache>
                <c:formatCode>General</c:formatCode>
                <c:ptCount val="5"/>
                <c:pt idx="0">
                  <c:v>175</c:v>
                </c:pt>
                <c:pt idx="1">
                  <c:v>27</c:v>
                </c:pt>
                <c:pt idx="2">
                  <c:v>64</c:v>
                </c:pt>
                <c:pt idx="3">
                  <c:v>18</c:v>
                </c:pt>
                <c:pt idx="4">
                  <c:v>16</c:v>
                </c:pt>
              </c:numCache>
            </c:numRef>
          </c:val>
          <c:extLst>
            <c:ext xmlns:c16="http://schemas.microsoft.com/office/drawing/2014/chart" uri="{C3380CC4-5D6E-409C-BE32-E72D297353CC}">
              <c16:uniqueId val="{00000000-EF86-426D-9459-7D8114AE1C76}"/>
            </c:ext>
          </c:extLst>
        </c:ser>
        <c:dLbls>
          <c:showLegendKey val="0"/>
          <c:showVal val="0"/>
          <c:showCatName val="0"/>
          <c:showSerName val="0"/>
          <c:showPercent val="0"/>
          <c:showBubbleSize val="0"/>
        </c:dLbls>
        <c:gapWidth val="150"/>
        <c:shape val="box"/>
        <c:axId val="243097711"/>
        <c:axId val="1912339759"/>
        <c:axId val="0"/>
      </c:bar3DChart>
      <c:catAx>
        <c:axId val="2430977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339759"/>
        <c:crosses val="autoZero"/>
        <c:auto val="1"/>
        <c:lblAlgn val="ctr"/>
        <c:lblOffset val="100"/>
        <c:noMultiLvlLbl val="0"/>
      </c:catAx>
      <c:valAx>
        <c:axId val="1912339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097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[Excel_Project_Datasets_23_Assigned_Students_MORE_BLANKS_Abba_Muxidiin_Enrollment2222233344.xlsx]PivotGender!PivotTable1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GENDER</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PivotGender!$B$3</c:f>
              <c:strCache>
                <c:ptCount val="1"/>
                <c:pt idx="0">
                  <c:v>Total</c:v>
                </c:pt>
              </c:strCache>
            </c:strRef>
          </c:tx>
          <c:spPr>
            <a:solidFill>
              <a:schemeClr val="accent1"/>
            </a:solidFill>
            <a:ln>
              <a:noFill/>
            </a:ln>
            <a:effectLst/>
          </c:spPr>
          <c:invertIfNegative val="0"/>
          <c:cat>
            <c:strRef>
              <c:f>PivotGender!$A$4:$A$7</c:f>
              <c:strCache>
                <c:ptCount val="3"/>
                <c:pt idx="0">
                  <c:v>Female</c:v>
                </c:pt>
                <c:pt idx="1">
                  <c:v>Male</c:v>
                </c:pt>
                <c:pt idx="2">
                  <c:v>non_gender </c:v>
                </c:pt>
              </c:strCache>
            </c:strRef>
          </c:cat>
          <c:val>
            <c:numRef>
              <c:f>PivotGender!$B$4:$B$7</c:f>
              <c:numCache>
                <c:formatCode>General</c:formatCode>
                <c:ptCount val="3"/>
                <c:pt idx="0">
                  <c:v>148</c:v>
                </c:pt>
                <c:pt idx="1">
                  <c:v>136</c:v>
                </c:pt>
                <c:pt idx="2">
                  <c:v>16</c:v>
                </c:pt>
              </c:numCache>
            </c:numRef>
          </c:val>
          <c:extLst>
            <c:ext xmlns:c16="http://schemas.microsoft.com/office/drawing/2014/chart" uri="{C3380CC4-5D6E-409C-BE32-E72D297353CC}">
              <c16:uniqueId val="{00000000-872E-4474-9ECE-C995C56943C0}"/>
            </c:ext>
          </c:extLst>
        </c:ser>
        <c:dLbls>
          <c:showLegendKey val="0"/>
          <c:showVal val="0"/>
          <c:showCatName val="0"/>
          <c:showSerName val="0"/>
          <c:showPercent val="0"/>
          <c:showBubbleSize val="0"/>
        </c:dLbls>
        <c:gapWidth val="219"/>
        <c:overlap val="-27"/>
        <c:axId val="251098031"/>
        <c:axId val="1912350319"/>
      </c:barChart>
      <c:catAx>
        <c:axId val="251098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350319"/>
        <c:crosses val="autoZero"/>
        <c:auto val="1"/>
        <c:lblAlgn val="ctr"/>
        <c:lblOffset val="100"/>
        <c:noMultiLvlLbl val="0"/>
      </c:catAx>
      <c:valAx>
        <c:axId val="1912350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098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[Excel_Project_Datasets_23_Assigned_Students_MORE_BLANKS_Abba_Muxidiin_Enrollment2222233344.xlsx]PivotTuitionByProgram!PivotTable4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TUITION</a:t>
            </a:r>
            <a:r>
              <a:rPr lang="en-US" baseline="0"/>
              <a:t> BY PROGRAM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PivotTuitionByProgram!$B$3</c:f>
              <c:strCache>
                <c:ptCount val="1"/>
                <c:pt idx="0">
                  <c:v>Total</c:v>
                </c:pt>
              </c:strCache>
            </c:strRef>
          </c:tx>
          <c:spPr>
            <a:solidFill>
              <a:schemeClr val="accent1"/>
            </a:solidFill>
            <a:ln>
              <a:noFill/>
            </a:ln>
            <a:effectLst/>
            <a:sp3d/>
          </c:spPr>
          <c:invertIfNegative val="0"/>
          <c:cat>
            <c:strRef>
              <c:f>PivotTuitionByProgram!$A$4:$A$11</c:f>
              <c:strCache>
                <c:ptCount val="7"/>
                <c:pt idx="0">
                  <c:v>Business Administration</c:v>
                </c:pt>
                <c:pt idx="1">
                  <c:v>Computer Science</c:v>
                </c:pt>
                <c:pt idx="2">
                  <c:v>Data Science</c:v>
                </c:pt>
                <c:pt idx="3">
                  <c:v>Economics</c:v>
                </c:pt>
                <c:pt idx="4">
                  <c:v>Engineering</c:v>
                </c:pt>
                <c:pt idx="5">
                  <c:v>non_program</c:v>
                </c:pt>
                <c:pt idx="6">
                  <c:v>Public Health</c:v>
                </c:pt>
              </c:strCache>
            </c:strRef>
          </c:cat>
          <c:val>
            <c:numRef>
              <c:f>PivotTuitionByProgram!$B$4:$B$11</c:f>
              <c:numCache>
                <c:formatCode>_("$"* #,##0.00_);_("$"* \(#,##0.00\);_("$"* "-"??_);_(@_)</c:formatCode>
                <c:ptCount val="7"/>
                <c:pt idx="0">
                  <c:v>36617.5</c:v>
                </c:pt>
                <c:pt idx="1">
                  <c:v>68526.92</c:v>
                </c:pt>
                <c:pt idx="2">
                  <c:v>65662.73</c:v>
                </c:pt>
                <c:pt idx="3">
                  <c:v>19402.25</c:v>
                </c:pt>
                <c:pt idx="4">
                  <c:v>42936.93</c:v>
                </c:pt>
                <c:pt idx="5">
                  <c:v>17318.409999999996</c:v>
                </c:pt>
                <c:pt idx="6">
                  <c:v>30457.95</c:v>
                </c:pt>
              </c:numCache>
            </c:numRef>
          </c:val>
          <c:extLst>
            <c:ext xmlns:c16="http://schemas.microsoft.com/office/drawing/2014/chart" uri="{C3380CC4-5D6E-409C-BE32-E72D297353CC}">
              <c16:uniqueId val="{00000000-BBCD-4519-83D8-BD757101FAF3}"/>
            </c:ext>
          </c:extLst>
        </c:ser>
        <c:dLbls>
          <c:showLegendKey val="0"/>
          <c:showVal val="0"/>
          <c:showCatName val="0"/>
          <c:showSerName val="0"/>
          <c:showPercent val="0"/>
          <c:showBubbleSize val="0"/>
        </c:dLbls>
        <c:gapWidth val="150"/>
        <c:shape val="box"/>
        <c:axId val="1909267343"/>
        <c:axId val="1912355599"/>
        <c:axId val="0"/>
      </c:bar3DChart>
      <c:catAx>
        <c:axId val="19092673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355599"/>
        <c:crosses val="autoZero"/>
        <c:auto val="1"/>
        <c:lblAlgn val="ctr"/>
        <c:lblOffset val="100"/>
        <c:noMultiLvlLbl val="0"/>
      </c:catAx>
      <c:valAx>
        <c:axId val="1912355599"/>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267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[Excel_Project_Datasets_23_Assigned_Students_MORE_BLANKS_Abba_Muxidiin_Enrollment2222233344.xlsx]PivotEnrollment_status!PivotTable3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ENROLMENT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PivotEnrollment_status!$B$3</c:f>
              <c:strCache>
                <c:ptCount val="1"/>
                <c:pt idx="0">
                  <c:v>Total</c:v>
                </c:pt>
              </c:strCache>
            </c:strRef>
          </c:tx>
          <c:spPr>
            <a:solidFill>
              <a:schemeClr val="accent1"/>
            </a:solidFill>
            <a:ln>
              <a:noFill/>
            </a:ln>
            <a:effectLst/>
          </c:spPr>
          <c:invertIfNegative val="0"/>
          <c:cat>
            <c:strRef>
              <c:f>PivotEnrollment_status!$A$4:$A$9</c:f>
              <c:strCache>
                <c:ptCount val="5"/>
                <c:pt idx="0">
                  <c:v>Active</c:v>
                </c:pt>
                <c:pt idx="1">
                  <c:v>Deferred</c:v>
                </c:pt>
                <c:pt idx="2">
                  <c:v>Graduated</c:v>
                </c:pt>
                <c:pt idx="3">
                  <c:v>non_status</c:v>
                </c:pt>
                <c:pt idx="4">
                  <c:v>Withdrawn</c:v>
                </c:pt>
              </c:strCache>
            </c:strRef>
          </c:cat>
          <c:val>
            <c:numRef>
              <c:f>PivotEnrollment_status!$B$4:$B$9</c:f>
              <c:numCache>
                <c:formatCode>General</c:formatCode>
                <c:ptCount val="5"/>
                <c:pt idx="0">
                  <c:v>175</c:v>
                </c:pt>
                <c:pt idx="1">
                  <c:v>27</c:v>
                </c:pt>
                <c:pt idx="2">
                  <c:v>64</c:v>
                </c:pt>
                <c:pt idx="3">
                  <c:v>18</c:v>
                </c:pt>
                <c:pt idx="4">
                  <c:v>16</c:v>
                </c:pt>
              </c:numCache>
            </c:numRef>
          </c:val>
          <c:extLst>
            <c:ext xmlns:c16="http://schemas.microsoft.com/office/drawing/2014/chart" uri="{C3380CC4-5D6E-409C-BE32-E72D297353CC}">
              <c16:uniqueId val="{00000000-C05F-4D12-9E20-6CB5202097E1}"/>
            </c:ext>
          </c:extLst>
        </c:ser>
        <c:dLbls>
          <c:showLegendKey val="0"/>
          <c:showVal val="0"/>
          <c:showCatName val="0"/>
          <c:showSerName val="0"/>
          <c:showPercent val="0"/>
          <c:showBubbleSize val="0"/>
        </c:dLbls>
        <c:gapWidth val="182"/>
        <c:axId val="251117983"/>
        <c:axId val="1912329199"/>
      </c:barChart>
      <c:catAx>
        <c:axId val="251117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329199"/>
        <c:crosses val="autoZero"/>
        <c:auto val="1"/>
        <c:lblAlgn val="ctr"/>
        <c:lblOffset val="100"/>
        <c:noMultiLvlLbl val="0"/>
      </c:catAx>
      <c:valAx>
        <c:axId val="19123291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117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[Excel_Project_Datasets_23_Assigned_Students_MORE_BLANKS_Abba_Muxidiin_Enrollment2222233344.xlsx]Sheet31!PivotTable28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STUDY MODE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Sheet31!$B$3</c:f>
              <c:strCache>
                <c:ptCount val="1"/>
                <c:pt idx="0">
                  <c:v>Total</c:v>
                </c:pt>
              </c:strCache>
            </c:strRef>
          </c:tx>
          <c:spPr>
            <a:solidFill>
              <a:schemeClr val="accent1"/>
            </a:solidFill>
            <a:ln>
              <a:noFill/>
            </a:ln>
            <a:effectLst/>
            <a:sp3d/>
          </c:spPr>
          <c:invertIfNegative val="0"/>
          <c:cat>
            <c:strRef>
              <c:f>Sheet31!$A$4:$A$8</c:f>
              <c:strCache>
                <c:ptCount val="4"/>
                <c:pt idx="0">
                  <c:v>Full-Time</c:v>
                </c:pt>
                <c:pt idx="1">
                  <c:v>non_stady_mode</c:v>
                </c:pt>
                <c:pt idx="2">
                  <c:v>Online</c:v>
                </c:pt>
                <c:pt idx="3">
                  <c:v>Part-Time</c:v>
                </c:pt>
              </c:strCache>
            </c:strRef>
          </c:cat>
          <c:val>
            <c:numRef>
              <c:f>Sheet31!$B$4:$B$8</c:f>
              <c:numCache>
                <c:formatCode>General</c:formatCode>
                <c:ptCount val="4"/>
                <c:pt idx="0">
                  <c:v>162</c:v>
                </c:pt>
                <c:pt idx="1">
                  <c:v>19</c:v>
                </c:pt>
                <c:pt idx="2">
                  <c:v>60</c:v>
                </c:pt>
                <c:pt idx="3">
                  <c:v>59</c:v>
                </c:pt>
              </c:numCache>
            </c:numRef>
          </c:val>
          <c:extLst>
            <c:ext xmlns:c16="http://schemas.microsoft.com/office/drawing/2014/chart" uri="{C3380CC4-5D6E-409C-BE32-E72D297353CC}">
              <c16:uniqueId val="{00000000-1659-47CB-9CEC-9479E126F8DE}"/>
            </c:ext>
          </c:extLst>
        </c:ser>
        <c:dLbls>
          <c:showLegendKey val="0"/>
          <c:showVal val="0"/>
          <c:showCatName val="0"/>
          <c:showSerName val="0"/>
          <c:showPercent val="0"/>
          <c:showBubbleSize val="0"/>
        </c:dLbls>
        <c:gapWidth val="150"/>
        <c:shape val="box"/>
        <c:axId val="243115343"/>
        <c:axId val="1912367119"/>
        <c:axId val="0"/>
      </c:bar3DChart>
      <c:catAx>
        <c:axId val="2431153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367119"/>
        <c:crosses val="autoZero"/>
        <c:auto val="1"/>
        <c:lblAlgn val="ctr"/>
        <c:lblOffset val="100"/>
        <c:noMultiLvlLbl val="0"/>
      </c:catAx>
      <c:valAx>
        <c:axId val="1912367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115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[Excel_Project_Datasets_23_Assigned_Students_MORE_BLANKS_Abba_Muxidiin_Enrollment2222233344.xlsx]PivotEnrollment_date!PivotTable17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ENROLLMENT</a:t>
            </a:r>
            <a:r>
              <a:rPr lang="en-US" baseline="0"/>
              <a:t> DATE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PivotEnrollment_date!$B$3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PivotEnrollment_date!$A$4:$A$14</c:f>
              <c:strCache>
                <c:ptCount val="10"/>
                <c:pt idx="0">
                  <c:v>#VALUE!</c:v>
                </c:pt>
                <c:pt idx="1">
                  <c:v>1</c:v>
                </c:pt>
                <c:pt idx="2">
                  <c:v>11</c:v>
                </c:pt>
                <c:pt idx="3">
                  <c:v>12</c:v>
                </c:pt>
                <c:pt idx="4">
                  <c:v>2</c:v>
                </c:pt>
                <c:pt idx="5">
                  <c:v>3</c:v>
                </c:pt>
                <c:pt idx="6">
                  <c:v>5</c:v>
                </c:pt>
                <c:pt idx="7">
                  <c:v>6</c:v>
                </c:pt>
                <c:pt idx="8">
                  <c:v>7</c:v>
                </c:pt>
                <c:pt idx="9">
                  <c:v>8</c:v>
                </c:pt>
              </c:strCache>
            </c:strRef>
          </c:cat>
          <c:val>
            <c:numRef>
              <c:f>PivotEnrollment_date!$B$4:$B$14</c:f>
              <c:numCache>
                <c:formatCode>General</c:formatCode>
                <c:ptCount val="10"/>
                <c:pt idx="0">
                  <c:v>18</c:v>
                </c:pt>
                <c:pt idx="1">
                  <c:v>26</c:v>
                </c:pt>
                <c:pt idx="2">
                  <c:v>23</c:v>
                </c:pt>
                <c:pt idx="3">
                  <c:v>34</c:v>
                </c:pt>
                <c:pt idx="4">
                  <c:v>20</c:v>
                </c:pt>
                <c:pt idx="5">
                  <c:v>6</c:v>
                </c:pt>
                <c:pt idx="6">
                  <c:v>10</c:v>
                </c:pt>
                <c:pt idx="7">
                  <c:v>55</c:v>
                </c:pt>
                <c:pt idx="8">
                  <c:v>78</c:v>
                </c:pt>
                <c:pt idx="9">
                  <c:v>30</c:v>
                </c:pt>
              </c:numCache>
            </c:numRef>
          </c:val>
          <c:smooth val="0"/>
          <c:extLst>
            <c:ext xmlns:c16="http://schemas.microsoft.com/office/drawing/2014/chart" uri="{C3380CC4-5D6E-409C-BE32-E72D297353CC}">
              <c16:uniqueId val="{00000000-F018-4422-A9A5-157650804B3E}"/>
            </c:ext>
          </c:extLst>
        </c:ser>
        <c:dLbls>
          <c:dLblPos val="t"/>
          <c:showLegendKey val="0"/>
          <c:showVal val="1"/>
          <c:showCatName val="0"/>
          <c:showSerName val="0"/>
          <c:showPercent val="0"/>
          <c:showBubbleSize val="0"/>
        </c:dLbls>
        <c:marker val="1"/>
        <c:smooth val="0"/>
        <c:axId val="243119519"/>
        <c:axId val="1912318639"/>
      </c:lineChart>
      <c:catAx>
        <c:axId val="243119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318639"/>
        <c:crosses val="autoZero"/>
        <c:auto val="1"/>
        <c:lblAlgn val="ctr"/>
        <c:lblOffset val="100"/>
        <c:noMultiLvlLbl val="0"/>
      </c:catAx>
      <c:valAx>
        <c:axId val="1912318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119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[Excel_Project_Datasets_23_Assigned_Students_MORE_BLANKS_Abba_Muxidiin_Enrollment2222233344.xlsx]Sheet31!PivotTable28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Sheet31!$B$3</c:f>
              <c:strCache>
                <c:ptCount val="1"/>
                <c:pt idx="0">
                  <c:v>Total</c:v>
                </c:pt>
              </c:strCache>
            </c:strRef>
          </c:tx>
          <c:spPr>
            <a:solidFill>
              <a:schemeClr val="accent1"/>
            </a:solidFill>
            <a:ln>
              <a:noFill/>
            </a:ln>
            <a:effectLst/>
            <a:sp3d/>
          </c:spPr>
          <c:invertIfNegative val="0"/>
          <c:cat>
            <c:strRef>
              <c:f>Sheet31!$A$4:$A$8</c:f>
              <c:strCache>
                <c:ptCount val="4"/>
                <c:pt idx="0">
                  <c:v>Full-Time</c:v>
                </c:pt>
                <c:pt idx="1">
                  <c:v>non_stady_mode</c:v>
                </c:pt>
                <c:pt idx="2">
                  <c:v>Online</c:v>
                </c:pt>
                <c:pt idx="3">
                  <c:v>Part-Time</c:v>
                </c:pt>
              </c:strCache>
            </c:strRef>
          </c:cat>
          <c:val>
            <c:numRef>
              <c:f>Sheet31!$B$4:$B$8</c:f>
              <c:numCache>
                <c:formatCode>General</c:formatCode>
                <c:ptCount val="4"/>
                <c:pt idx="0">
                  <c:v>162</c:v>
                </c:pt>
                <c:pt idx="1">
                  <c:v>19</c:v>
                </c:pt>
                <c:pt idx="2">
                  <c:v>60</c:v>
                </c:pt>
                <c:pt idx="3">
                  <c:v>59</c:v>
                </c:pt>
              </c:numCache>
            </c:numRef>
          </c:val>
          <c:extLst>
            <c:ext xmlns:c16="http://schemas.microsoft.com/office/drawing/2014/chart" uri="{C3380CC4-5D6E-409C-BE32-E72D297353CC}">
              <c16:uniqueId val="{00000000-6836-4C3C-A03C-73F87C0C3030}"/>
            </c:ext>
          </c:extLst>
        </c:ser>
        <c:dLbls>
          <c:showLegendKey val="0"/>
          <c:showVal val="0"/>
          <c:showCatName val="0"/>
          <c:showSerName val="0"/>
          <c:showPercent val="0"/>
          <c:showBubbleSize val="0"/>
        </c:dLbls>
        <c:gapWidth val="150"/>
        <c:shape val="box"/>
        <c:axId val="243115343"/>
        <c:axId val="1912367119"/>
        <c:axId val="0"/>
      </c:bar3DChart>
      <c:catAx>
        <c:axId val="2431153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367119"/>
        <c:crosses val="autoZero"/>
        <c:auto val="1"/>
        <c:lblAlgn val="ctr"/>
        <c:lblOffset val="100"/>
        <c:noMultiLvlLbl val="0"/>
      </c:catAx>
      <c:valAx>
        <c:axId val="1912367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115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[Excel_Project_Datasets_23_Assigned_Students_MORE_BLANKS_Abba_Muxidiin_Enrollment2222233344.xlsx]Study_mode!PivotTable29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STUDY_MODE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Study_mode!$B$3</c:f>
              <c:strCache>
                <c:ptCount val="1"/>
                <c:pt idx="0">
                  <c:v>Total</c:v>
                </c:pt>
              </c:strCache>
            </c:strRef>
          </c:tx>
          <c:spPr>
            <a:solidFill>
              <a:schemeClr val="accent1"/>
            </a:solidFill>
            <a:ln>
              <a:noFill/>
            </a:ln>
            <a:effectLst/>
            <a:sp3d/>
          </c:spPr>
          <c:invertIfNegative val="0"/>
          <c:cat>
            <c:strRef>
              <c:f>Study_mode!$A$4:$A$8</c:f>
              <c:strCache>
                <c:ptCount val="4"/>
                <c:pt idx="0">
                  <c:v>Full-Time</c:v>
                </c:pt>
                <c:pt idx="1">
                  <c:v>non_stady_mode</c:v>
                </c:pt>
                <c:pt idx="2">
                  <c:v>Online</c:v>
                </c:pt>
                <c:pt idx="3">
                  <c:v>Part-Time</c:v>
                </c:pt>
              </c:strCache>
            </c:strRef>
          </c:cat>
          <c:val>
            <c:numRef>
              <c:f>Study_mode!$B$4:$B$8</c:f>
              <c:numCache>
                <c:formatCode>General</c:formatCode>
                <c:ptCount val="4"/>
                <c:pt idx="0">
                  <c:v>162</c:v>
                </c:pt>
                <c:pt idx="1">
                  <c:v>19</c:v>
                </c:pt>
                <c:pt idx="2">
                  <c:v>60</c:v>
                </c:pt>
                <c:pt idx="3">
                  <c:v>59</c:v>
                </c:pt>
              </c:numCache>
            </c:numRef>
          </c:val>
          <c:extLst>
            <c:ext xmlns:c16="http://schemas.microsoft.com/office/drawing/2014/chart" uri="{C3380CC4-5D6E-409C-BE32-E72D297353CC}">
              <c16:uniqueId val="{00000000-9E4F-4B04-AC32-D30D84BC2753}"/>
            </c:ext>
          </c:extLst>
        </c:ser>
        <c:dLbls>
          <c:showLegendKey val="0"/>
          <c:showVal val="0"/>
          <c:showCatName val="0"/>
          <c:showSerName val="0"/>
          <c:showPercent val="0"/>
          <c:showBubbleSize val="0"/>
        </c:dLbls>
        <c:gapWidth val="150"/>
        <c:shape val="box"/>
        <c:axId val="247034671"/>
        <c:axId val="1912303759"/>
        <c:axId val="0"/>
      </c:bar3DChart>
      <c:catAx>
        <c:axId val="2470346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303759"/>
        <c:crosses val="autoZero"/>
        <c:auto val="1"/>
        <c:lblAlgn val="ctr"/>
        <c:lblOffset val="100"/>
        <c:noMultiLvlLbl val="0"/>
      </c:catAx>
      <c:valAx>
        <c:axId val="1912303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034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5" Type="http://schemas.openxmlformats.org/officeDocument/2006/relationships/chart" Target="../charts/chart17.xml"/><Relationship Id="rId4" Type="http://schemas.openxmlformats.org/officeDocument/2006/relationships/chart" Target="../charts/chart16.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8</xdr:col>
      <xdr:colOff>25400</xdr:colOff>
      <xdr:row>21</xdr:row>
      <xdr:rowOff>19050</xdr:rowOff>
    </xdr:from>
    <xdr:to>
      <xdr:col>14</xdr:col>
      <xdr:colOff>38100</xdr:colOff>
      <xdr:row>36</xdr:row>
      <xdr:rowOff>12700</xdr:rowOff>
    </xdr:to>
    <xdr:graphicFrame macro="">
      <xdr:nvGraphicFramePr>
        <xdr:cNvPr id="2" name="Chart 1">
          <a:extLst>
            <a:ext uri="{FF2B5EF4-FFF2-40B4-BE49-F238E27FC236}">
              <a16:creationId xmlns:a16="http://schemas.microsoft.com/office/drawing/2014/main" id="{F932A067-E1B2-4EF2-8DEF-3338CA2C91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6350</xdr:colOff>
      <xdr:row>54</xdr:row>
      <xdr:rowOff>6350</xdr:rowOff>
    </xdr:from>
    <xdr:to>
      <xdr:col>14</xdr:col>
      <xdr:colOff>19050</xdr:colOff>
      <xdr:row>66</xdr:row>
      <xdr:rowOff>0</xdr:rowOff>
    </xdr:to>
    <xdr:graphicFrame macro="">
      <xdr:nvGraphicFramePr>
        <xdr:cNvPr id="3" name="Chart 2">
          <a:extLst>
            <a:ext uri="{FF2B5EF4-FFF2-40B4-BE49-F238E27FC236}">
              <a16:creationId xmlns:a16="http://schemas.microsoft.com/office/drawing/2014/main" id="{F4ADD694-4DBB-430A-A791-55F50FCFBA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12700</xdr:colOff>
      <xdr:row>37</xdr:row>
      <xdr:rowOff>0</xdr:rowOff>
    </xdr:from>
    <xdr:to>
      <xdr:col>14</xdr:col>
      <xdr:colOff>0</xdr:colOff>
      <xdr:row>53</xdr:row>
      <xdr:rowOff>6350</xdr:rowOff>
    </xdr:to>
    <xdr:graphicFrame macro="">
      <xdr:nvGraphicFramePr>
        <xdr:cNvPr id="4" name="Chart 3">
          <a:extLst>
            <a:ext uri="{FF2B5EF4-FFF2-40B4-BE49-F238E27FC236}">
              <a16:creationId xmlns:a16="http://schemas.microsoft.com/office/drawing/2014/main" id="{35628754-2169-4AD8-B209-82EB23C32D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19050</xdr:colOff>
      <xdr:row>37</xdr:row>
      <xdr:rowOff>25400</xdr:rowOff>
    </xdr:from>
    <xdr:to>
      <xdr:col>6</xdr:col>
      <xdr:colOff>654050</xdr:colOff>
      <xdr:row>52</xdr:row>
      <xdr:rowOff>165100</xdr:rowOff>
    </xdr:to>
    <xdr:graphicFrame macro="">
      <xdr:nvGraphicFramePr>
        <xdr:cNvPr id="5" name="Chart 4">
          <a:extLst>
            <a:ext uri="{FF2B5EF4-FFF2-40B4-BE49-F238E27FC236}">
              <a16:creationId xmlns:a16="http://schemas.microsoft.com/office/drawing/2014/main" id="{DF365B62-E853-49C6-AF63-8CBD7D0991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21</xdr:row>
      <xdr:rowOff>69850</xdr:rowOff>
    </xdr:from>
    <xdr:to>
      <xdr:col>7</xdr:col>
      <xdr:colOff>38100</xdr:colOff>
      <xdr:row>36</xdr:row>
      <xdr:rowOff>57150</xdr:rowOff>
    </xdr:to>
    <xdr:graphicFrame macro="">
      <xdr:nvGraphicFramePr>
        <xdr:cNvPr id="6" name="Chart 5">
          <a:extLst>
            <a:ext uri="{FF2B5EF4-FFF2-40B4-BE49-F238E27FC236}">
              <a16:creationId xmlns:a16="http://schemas.microsoft.com/office/drawing/2014/main" id="{74F4BEA1-71E1-47CD-B9E1-3241E8BEBA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95250</xdr:colOff>
      <xdr:row>28</xdr:row>
      <xdr:rowOff>38101</xdr:rowOff>
    </xdr:from>
    <xdr:to>
      <xdr:col>16</xdr:col>
      <xdr:colOff>603250</xdr:colOff>
      <xdr:row>33</xdr:row>
      <xdr:rowOff>107951</xdr:rowOff>
    </xdr:to>
    <mc:AlternateContent xmlns:mc="http://schemas.openxmlformats.org/markup-compatibility/2006" xmlns:a14="http://schemas.microsoft.com/office/drawing/2010/main">
      <mc:Choice Requires="a14">
        <xdr:graphicFrame macro="">
          <xdr:nvGraphicFramePr>
            <xdr:cNvPr id="12" name="Gender 2">
              <a:extLst>
                <a:ext uri="{FF2B5EF4-FFF2-40B4-BE49-F238E27FC236}">
                  <a16:creationId xmlns:a16="http://schemas.microsoft.com/office/drawing/2014/main" id="{B6AF254F-B247-F244-8385-9265ED6986D6}"/>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9340850" y="5016501"/>
              <a:ext cx="1828800" cy="958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95250</xdr:colOff>
      <xdr:row>33</xdr:row>
      <xdr:rowOff>146051</xdr:rowOff>
    </xdr:from>
    <xdr:to>
      <xdr:col>16</xdr:col>
      <xdr:colOff>603250</xdr:colOff>
      <xdr:row>44</xdr:row>
      <xdr:rowOff>133351</xdr:rowOff>
    </xdr:to>
    <mc:AlternateContent xmlns:mc="http://schemas.openxmlformats.org/markup-compatibility/2006" xmlns:a14="http://schemas.microsoft.com/office/drawing/2010/main">
      <mc:Choice Requires="a14">
        <xdr:graphicFrame macro="">
          <xdr:nvGraphicFramePr>
            <xdr:cNvPr id="13" name="Program 4">
              <a:extLst>
                <a:ext uri="{FF2B5EF4-FFF2-40B4-BE49-F238E27FC236}">
                  <a16:creationId xmlns:a16="http://schemas.microsoft.com/office/drawing/2014/main" id="{386DE745-5F7D-BF06-A56C-35383B021C5E}"/>
                </a:ext>
              </a:extLst>
            </xdr:cNvPr>
            <xdr:cNvGraphicFramePr/>
          </xdr:nvGraphicFramePr>
          <xdr:xfrm>
            <a:off x="0" y="0"/>
            <a:ext cx="0" cy="0"/>
          </xdr:xfrm>
          <a:graphic>
            <a:graphicData uri="http://schemas.microsoft.com/office/drawing/2010/slicer">
              <sle:slicer xmlns:sle="http://schemas.microsoft.com/office/drawing/2010/slicer" name="Program 4"/>
            </a:graphicData>
          </a:graphic>
        </xdr:graphicFrame>
      </mc:Choice>
      <mc:Fallback xmlns="">
        <xdr:sp macro="" textlink="">
          <xdr:nvSpPr>
            <xdr:cNvPr id="0" name=""/>
            <xdr:cNvSpPr>
              <a:spLocks noTextEdit="1"/>
            </xdr:cNvSpPr>
          </xdr:nvSpPr>
          <xdr:spPr>
            <a:xfrm>
              <a:off x="9340850" y="6013451"/>
              <a:ext cx="1828800" cy="1943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101600</xdr:colOff>
      <xdr:row>45</xdr:row>
      <xdr:rowOff>12700</xdr:rowOff>
    </xdr:from>
    <xdr:to>
      <xdr:col>16</xdr:col>
      <xdr:colOff>609600</xdr:colOff>
      <xdr:row>66</xdr:row>
      <xdr:rowOff>6349</xdr:rowOff>
    </xdr:to>
    <mc:AlternateContent xmlns:mc="http://schemas.openxmlformats.org/markup-compatibility/2006" xmlns:a14="http://schemas.microsoft.com/office/drawing/2010/main">
      <mc:Choice Requires="a14">
        <xdr:graphicFrame macro="">
          <xdr:nvGraphicFramePr>
            <xdr:cNvPr id="14" name="Enrollment_Date 1">
              <a:extLst>
                <a:ext uri="{FF2B5EF4-FFF2-40B4-BE49-F238E27FC236}">
                  <a16:creationId xmlns:a16="http://schemas.microsoft.com/office/drawing/2014/main" id="{E9F6D27C-2C17-B1DB-49F4-0FAA2EA11857}"/>
                </a:ext>
              </a:extLst>
            </xdr:cNvPr>
            <xdr:cNvGraphicFramePr/>
          </xdr:nvGraphicFramePr>
          <xdr:xfrm>
            <a:off x="0" y="0"/>
            <a:ext cx="0" cy="0"/>
          </xdr:xfrm>
          <a:graphic>
            <a:graphicData uri="http://schemas.microsoft.com/office/drawing/2010/slicer">
              <sle:slicer xmlns:sle="http://schemas.microsoft.com/office/drawing/2010/slicer" name="Enrollment_Date 1"/>
            </a:graphicData>
          </a:graphic>
        </xdr:graphicFrame>
      </mc:Choice>
      <mc:Fallback xmlns="">
        <xdr:sp macro="" textlink="">
          <xdr:nvSpPr>
            <xdr:cNvPr id="0" name=""/>
            <xdr:cNvSpPr>
              <a:spLocks noTextEdit="1"/>
            </xdr:cNvSpPr>
          </xdr:nvSpPr>
          <xdr:spPr>
            <a:xfrm>
              <a:off x="9347200" y="8013700"/>
              <a:ext cx="1828800" cy="37274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95250</xdr:colOff>
      <xdr:row>20</xdr:row>
      <xdr:rowOff>76201</xdr:rowOff>
    </xdr:from>
    <xdr:to>
      <xdr:col>16</xdr:col>
      <xdr:colOff>603250</xdr:colOff>
      <xdr:row>27</xdr:row>
      <xdr:rowOff>152401</xdr:rowOff>
    </xdr:to>
    <mc:AlternateContent xmlns:mc="http://schemas.openxmlformats.org/markup-compatibility/2006" xmlns:a14="http://schemas.microsoft.com/office/drawing/2010/main">
      <mc:Choice Requires="a14">
        <xdr:graphicFrame macro="">
          <xdr:nvGraphicFramePr>
            <xdr:cNvPr id="15" name="Study_Mode 1">
              <a:extLst>
                <a:ext uri="{FF2B5EF4-FFF2-40B4-BE49-F238E27FC236}">
                  <a16:creationId xmlns:a16="http://schemas.microsoft.com/office/drawing/2014/main" id="{38CEEB5A-5B02-1CA4-17C8-8FCBD9800065}"/>
                </a:ext>
              </a:extLst>
            </xdr:cNvPr>
            <xdr:cNvGraphicFramePr/>
          </xdr:nvGraphicFramePr>
          <xdr:xfrm>
            <a:off x="0" y="0"/>
            <a:ext cx="0" cy="0"/>
          </xdr:xfrm>
          <a:graphic>
            <a:graphicData uri="http://schemas.microsoft.com/office/drawing/2010/slicer">
              <sle:slicer xmlns:sle="http://schemas.microsoft.com/office/drawing/2010/slicer" name="Study_Mode 1"/>
            </a:graphicData>
          </a:graphic>
        </xdr:graphicFrame>
      </mc:Choice>
      <mc:Fallback xmlns="">
        <xdr:sp macro="" textlink="">
          <xdr:nvSpPr>
            <xdr:cNvPr id="0" name=""/>
            <xdr:cNvSpPr>
              <a:spLocks noTextEdit="1"/>
            </xdr:cNvSpPr>
          </xdr:nvSpPr>
          <xdr:spPr>
            <a:xfrm>
              <a:off x="9340850" y="3632201"/>
              <a:ext cx="1828800" cy="1320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88900</xdr:colOff>
      <xdr:row>10</xdr:row>
      <xdr:rowOff>63501</xdr:rowOff>
    </xdr:from>
    <xdr:to>
      <xdr:col>16</xdr:col>
      <xdr:colOff>596900</xdr:colOff>
      <xdr:row>19</xdr:row>
      <xdr:rowOff>158751</xdr:rowOff>
    </xdr:to>
    <mc:AlternateContent xmlns:mc="http://schemas.openxmlformats.org/markup-compatibility/2006" xmlns:a14="http://schemas.microsoft.com/office/drawing/2010/main">
      <mc:Choice Requires="a14">
        <xdr:graphicFrame macro="">
          <xdr:nvGraphicFramePr>
            <xdr:cNvPr id="16" name="Enrollment_Status 1">
              <a:extLst>
                <a:ext uri="{FF2B5EF4-FFF2-40B4-BE49-F238E27FC236}">
                  <a16:creationId xmlns:a16="http://schemas.microsoft.com/office/drawing/2014/main" id="{F6B6DF4F-2DC4-E6EE-B567-ABCB70C614FF}"/>
                </a:ext>
              </a:extLst>
            </xdr:cNvPr>
            <xdr:cNvGraphicFramePr/>
          </xdr:nvGraphicFramePr>
          <xdr:xfrm>
            <a:off x="0" y="0"/>
            <a:ext cx="0" cy="0"/>
          </xdr:xfrm>
          <a:graphic>
            <a:graphicData uri="http://schemas.microsoft.com/office/drawing/2010/slicer">
              <sle:slicer xmlns:sle="http://schemas.microsoft.com/office/drawing/2010/slicer" name="Enrollment_Status 1"/>
            </a:graphicData>
          </a:graphic>
        </xdr:graphicFrame>
      </mc:Choice>
      <mc:Fallback xmlns="">
        <xdr:sp macro="" textlink="">
          <xdr:nvSpPr>
            <xdr:cNvPr id="0" name=""/>
            <xdr:cNvSpPr>
              <a:spLocks noTextEdit="1"/>
            </xdr:cNvSpPr>
          </xdr:nvSpPr>
          <xdr:spPr>
            <a:xfrm>
              <a:off x="9334500" y="1841501"/>
              <a:ext cx="1828800" cy="1695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79375</xdr:colOff>
      <xdr:row>8</xdr:row>
      <xdr:rowOff>142875</xdr:rowOff>
    </xdr:from>
    <xdr:to>
      <xdr:col>5</xdr:col>
      <xdr:colOff>301625</xdr:colOff>
      <xdr:row>24</xdr:row>
      <xdr:rowOff>41275</xdr:rowOff>
    </xdr:to>
    <xdr:graphicFrame macro="">
      <xdr:nvGraphicFramePr>
        <xdr:cNvPr id="2" name="Chart 1">
          <a:extLst>
            <a:ext uri="{FF2B5EF4-FFF2-40B4-BE49-F238E27FC236}">
              <a16:creationId xmlns:a16="http://schemas.microsoft.com/office/drawing/2014/main" id="{43DC9F79-0D4C-24E9-28B9-7A31D2EE71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10</xdr:row>
      <xdr:rowOff>19050</xdr:rowOff>
    </xdr:from>
    <xdr:to>
      <xdr:col>8</xdr:col>
      <xdr:colOff>508000</xdr:colOff>
      <xdr:row>23</xdr:row>
      <xdr:rowOff>147103</xdr:rowOff>
    </xdr:to>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21DA4F53-EFE4-0243-DCB8-82625DE4C29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010150" y="1797050"/>
              <a:ext cx="1828800" cy="24394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12</xdr:row>
      <xdr:rowOff>60325</xdr:rowOff>
    </xdr:from>
    <xdr:to>
      <xdr:col>4</xdr:col>
      <xdr:colOff>336550</xdr:colOff>
      <xdr:row>27</xdr:row>
      <xdr:rowOff>136525</xdr:rowOff>
    </xdr:to>
    <xdr:graphicFrame macro="">
      <xdr:nvGraphicFramePr>
        <xdr:cNvPr id="2" name="Chart 1">
          <a:extLst>
            <a:ext uri="{FF2B5EF4-FFF2-40B4-BE49-F238E27FC236}">
              <a16:creationId xmlns:a16="http://schemas.microsoft.com/office/drawing/2014/main" id="{357C0717-2790-2B74-2F43-2B155FA85B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171450</xdr:colOff>
      <xdr:row>11</xdr:row>
      <xdr:rowOff>146050</xdr:rowOff>
    </xdr:from>
    <xdr:to>
      <xdr:col>8</xdr:col>
      <xdr:colOff>19050</xdr:colOff>
      <xdr:row>25</xdr:row>
      <xdr:rowOff>96303</xdr:rowOff>
    </xdr:to>
    <mc:AlternateContent xmlns:mc="http://schemas.openxmlformats.org/markup-compatibility/2006">
      <mc:Choice xmlns:a14="http://schemas.microsoft.com/office/drawing/2010/main" Requires="a14">
        <xdr:graphicFrame macro="">
          <xdr:nvGraphicFramePr>
            <xdr:cNvPr id="3" name="Program">
              <a:extLst>
                <a:ext uri="{FF2B5EF4-FFF2-40B4-BE49-F238E27FC236}">
                  <a16:creationId xmlns:a16="http://schemas.microsoft.com/office/drawing/2014/main" id="{5D9261D7-8C1A-938A-02DB-6AE9E42F3A18}"/>
                </a:ext>
              </a:extLst>
            </xdr:cNvPr>
            <xdr:cNvGraphicFramePr/>
          </xdr:nvGraphicFramePr>
          <xdr:xfrm>
            <a:off x="0" y="0"/>
            <a:ext cx="0" cy="0"/>
          </xdr:xfrm>
          <a:graphic>
            <a:graphicData uri="http://schemas.microsoft.com/office/drawing/2010/slicer">
              <sle:slicer xmlns:sle="http://schemas.microsoft.com/office/drawing/2010/slicer" name="Program"/>
            </a:graphicData>
          </a:graphic>
        </xdr:graphicFrame>
      </mc:Choice>
      <mc:Fallback>
        <xdr:sp macro="" textlink="">
          <xdr:nvSpPr>
            <xdr:cNvPr id="0" name=""/>
            <xdr:cNvSpPr>
              <a:spLocks noTextEdit="1"/>
            </xdr:cNvSpPr>
          </xdr:nvSpPr>
          <xdr:spPr>
            <a:xfrm>
              <a:off x="5067300" y="2101850"/>
              <a:ext cx="1828800" cy="24394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10</xdr:row>
      <xdr:rowOff>123825</xdr:rowOff>
    </xdr:from>
    <xdr:to>
      <xdr:col>5</xdr:col>
      <xdr:colOff>222250</xdr:colOff>
      <xdr:row>26</xdr:row>
      <xdr:rowOff>22225</xdr:rowOff>
    </xdr:to>
    <xdr:graphicFrame macro="">
      <xdr:nvGraphicFramePr>
        <xdr:cNvPr id="2" name="Chart 1">
          <a:extLst>
            <a:ext uri="{FF2B5EF4-FFF2-40B4-BE49-F238E27FC236}">
              <a16:creationId xmlns:a16="http://schemas.microsoft.com/office/drawing/2014/main" id="{52E89EAB-D1B0-DE74-2560-295CF51230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654050</xdr:colOff>
      <xdr:row>12</xdr:row>
      <xdr:rowOff>82550</xdr:rowOff>
    </xdr:from>
    <xdr:to>
      <xdr:col>8</xdr:col>
      <xdr:colOff>501650</xdr:colOff>
      <xdr:row>26</xdr:row>
      <xdr:rowOff>32803</xdr:rowOff>
    </xdr:to>
    <mc:AlternateContent xmlns:mc="http://schemas.openxmlformats.org/markup-compatibility/2006">
      <mc:Choice xmlns:a14="http://schemas.microsoft.com/office/drawing/2010/main" Requires="a14">
        <xdr:graphicFrame macro="">
          <xdr:nvGraphicFramePr>
            <xdr:cNvPr id="3" name="Enrollment_Status">
              <a:extLst>
                <a:ext uri="{FF2B5EF4-FFF2-40B4-BE49-F238E27FC236}">
                  <a16:creationId xmlns:a16="http://schemas.microsoft.com/office/drawing/2014/main" id="{C29BF21D-7408-506A-73D7-238A7D6583BF}"/>
                </a:ext>
              </a:extLst>
            </xdr:cNvPr>
            <xdr:cNvGraphicFramePr/>
          </xdr:nvGraphicFramePr>
          <xdr:xfrm>
            <a:off x="0" y="0"/>
            <a:ext cx="0" cy="0"/>
          </xdr:xfrm>
          <a:graphic>
            <a:graphicData uri="http://schemas.microsoft.com/office/drawing/2010/slicer">
              <sle:slicer xmlns:sle="http://schemas.microsoft.com/office/drawing/2010/slicer" name="Enrollment_Status"/>
            </a:graphicData>
          </a:graphic>
        </xdr:graphicFrame>
      </mc:Choice>
      <mc:Fallback>
        <xdr:sp macro="" textlink="">
          <xdr:nvSpPr>
            <xdr:cNvPr id="0" name=""/>
            <xdr:cNvSpPr>
              <a:spLocks noTextEdit="1"/>
            </xdr:cNvSpPr>
          </xdr:nvSpPr>
          <xdr:spPr>
            <a:xfrm>
              <a:off x="5003800" y="2216150"/>
              <a:ext cx="1828800" cy="24394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10</xdr:row>
      <xdr:rowOff>98425</xdr:rowOff>
    </xdr:from>
    <xdr:to>
      <xdr:col>4</xdr:col>
      <xdr:colOff>387350</xdr:colOff>
      <xdr:row>25</xdr:row>
      <xdr:rowOff>174625</xdr:rowOff>
    </xdr:to>
    <xdr:graphicFrame macro="">
      <xdr:nvGraphicFramePr>
        <xdr:cNvPr id="2" name="Chart 1">
          <a:extLst>
            <a:ext uri="{FF2B5EF4-FFF2-40B4-BE49-F238E27FC236}">
              <a16:creationId xmlns:a16="http://schemas.microsoft.com/office/drawing/2014/main" id="{B6711C31-24BC-ACE4-3962-B81C711C35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609600</xdr:colOff>
      <xdr:row>10</xdr:row>
      <xdr:rowOff>120650</xdr:rowOff>
    </xdr:from>
    <xdr:to>
      <xdr:col>7</xdr:col>
      <xdr:colOff>457200</xdr:colOff>
      <xdr:row>24</xdr:row>
      <xdr:rowOff>70903</xdr:rowOff>
    </xdr:to>
    <mc:AlternateContent xmlns:mc="http://schemas.openxmlformats.org/markup-compatibility/2006">
      <mc:Choice xmlns:a14="http://schemas.microsoft.com/office/drawing/2010/main" Requires="a14">
        <xdr:graphicFrame macro="">
          <xdr:nvGraphicFramePr>
            <xdr:cNvPr id="3" name="Program 1">
              <a:extLst>
                <a:ext uri="{FF2B5EF4-FFF2-40B4-BE49-F238E27FC236}">
                  <a16:creationId xmlns:a16="http://schemas.microsoft.com/office/drawing/2014/main" id="{AE22ACC4-7DFC-70AA-9852-A3BBE4791B69}"/>
                </a:ext>
              </a:extLst>
            </xdr:cNvPr>
            <xdr:cNvGraphicFramePr/>
          </xdr:nvGraphicFramePr>
          <xdr:xfrm>
            <a:off x="0" y="0"/>
            <a:ext cx="0" cy="0"/>
          </xdr:xfrm>
          <a:graphic>
            <a:graphicData uri="http://schemas.microsoft.com/office/drawing/2010/slicer">
              <sle:slicer xmlns:sle="http://schemas.microsoft.com/office/drawing/2010/slicer" name="Program 1"/>
            </a:graphicData>
          </a:graphic>
        </xdr:graphicFrame>
      </mc:Choice>
      <mc:Fallback>
        <xdr:sp macro="" textlink="">
          <xdr:nvSpPr>
            <xdr:cNvPr id="0" name=""/>
            <xdr:cNvSpPr>
              <a:spLocks noTextEdit="1"/>
            </xdr:cNvSpPr>
          </xdr:nvSpPr>
          <xdr:spPr>
            <a:xfrm>
              <a:off x="4794250" y="1898650"/>
              <a:ext cx="1828800" cy="24394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28575</xdr:colOff>
      <xdr:row>7</xdr:row>
      <xdr:rowOff>79375</xdr:rowOff>
    </xdr:from>
    <xdr:to>
      <xdr:col>5</xdr:col>
      <xdr:colOff>250825</xdr:colOff>
      <xdr:row>22</xdr:row>
      <xdr:rowOff>155575</xdr:rowOff>
    </xdr:to>
    <xdr:graphicFrame macro="">
      <xdr:nvGraphicFramePr>
        <xdr:cNvPr id="2" name="Chart 1">
          <a:extLst>
            <a:ext uri="{FF2B5EF4-FFF2-40B4-BE49-F238E27FC236}">
              <a16:creationId xmlns:a16="http://schemas.microsoft.com/office/drawing/2014/main" id="{1D65C36C-85D0-268A-1DE4-BC2F6DDDFF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1003300</xdr:colOff>
      <xdr:row>21</xdr:row>
      <xdr:rowOff>149225</xdr:rowOff>
    </xdr:from>
    <xdr:to>
      <xdr:col>11</xdr:col>
      <xdr:colOff>0</xdr:colOff>
      <xdr:row>37</xdr:row>
      <xdr:rowOff>47625</xdr:rowOff>
    </xdr:to>
    <xdr:graphicFrame macro="">
      <xdr:nvGraphicFramePr>
        <xdr:cNvPr id="3" name="Chart 2">
          <a:extLst>
            <a:ext uri="{FF2B5EF4-FFF2-40B4-BE49-F238E27FC236}">
              <a16:creationId xmlns:a16="http://schemas.microsoft.com/office/drawing/2014/main" id="{BF64A4B2-146E-0844-5798-1D6DA12AB7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812800</xdr:colOff>
      <xdr:row>31</xdr:row>
      <xdr:rowOff>165100</xdr:rowOff>
    </xdr:from>
    <xdr:to>
      <xdr:col>6</xdr:col>
      <xdr:colOff>266700</xdr:colOff>
      <xdr:row>45</xdr:row>
      <xdr:rowOff>115353</xdr:rowOff>
    </xdr:to>
    <mc:AlternateContent xmlns:mc="http://schemas.openxmlformats.org/markup-compatibility/2006">
      <mc:Choice xmlns:a14="http://schemas.microsoft.com/office/drawing/2010/main" Requires="a14">
        <xdr:graphicFrame macro="">
          <xdr:nvGraphicFramePr>
            <xdr:cNvPr id="4" name="Enrollment_Date 2">
              <a:extLst>
                <a:ext uri="{FF2B5EF4-FFF2-40B4-BE49-F238E27FC236}">
                  <a16:creationId xmlns:a16="http://schemas.microsoft.com/office/drawing/2014/main" id="{C5EB8EF9-CBD0-A437-7FC0-7AEA77BBBE2B}"/>
                </a:ext>
              </a:extLst>
            </xdr:cNvPr>
            <xdr:cNvGraphicFramePr/>
          </xdr:nvGraphicFramePr>
          <xdr:xfrm>
            <a:off x="0" y="0"/>
            <a:ext cx="0" cy="0"/>
          </xdr:xfrm>
          <a:graphic>
            <a:graphicData uri="http://schemas.microsoft.com/office/drawing/2010/slicer">
              <sle:slicer xmlns:sle="http://schemas.microsoft.com/office/drawing/2010/slicer" name="Enrollment_Date 2"/>
            </a:graphicData>
          </a:graphic>
        </xdr:graphicFrame>
      </mc:Choice>
      <mc:Fallback>
        <xdr:sp macro="" textlink="">
          <xdr:nvSpPr>
            <xdr:cNvPr id="0" name=""/>
            <xdr:cNvSpPr>
              <a:spLocks noTextEdit="1"/>
            </xdr:cNvSpPr>
          </xdr:nvSpPr>
          <xdr:spPr>
            <a:xfrm>
              <a:off x="5556250" y="5676900"/>
              <a:ext cx="1828800" cy="24394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0</xdr:col>
      <xdr:colOff>177800</xdr:colOff>
      <xdr:row>13</xdr:row>
      <xdr:rowOff>104775</xdr:rowOff>
    </xdr:from>
    <xdr:to>
      <xdr:col>5</xdr:col>
      <xdr:colOff>355600</xdr:colOff>
      <xdr:row>29</xdr:row>
      <xdr:rowOff>3175</xdr:rowOff>
    </xdr:to>
    <xdr:graphicFrame macro="">
      <xdr:nvGraphicFramePr>
        <xdr:cNvPr id="2" name="Chart 1">
          <a:extLst>
            <a:ext uri="{FF2B5EF4-FFF2-40B4-BE49-F238E27FC236}">
              <a16:creationId xmlns:a16="http://schemas.microsoft.com/office/drawing/2014/main" id="{06650128-9CFD-D888-8D7F-193F3D0601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25400</xdr:colOff>
      <xdr:row>15</xdr:row>
      <xdr:rowOff>19050</xdr:rowOff>
    </xdr:from>
    <xdr:to>
      <xdr:col>10</xdr:col>
      <xdr:colOff>317500</xdr:colOff>
      <xdr:row>30</xdr:row>
      <xdr:rowOff>95250</xdr:rowOff>
    </xdr:to>
    <xdr:graphicFrame macro="">
      <xdr:nvGraphicFramePr>
        <xdr:cNvPr id="2" name="Chart 1">
          <a:extLst>
            <a:ext uri="{FF2B5EF4-FFF2-40B4-BE49-F238E27FC236}">
              <a16:creationId xmlns:a16="http://schemas.microsoft.com/office/drawing/2014/main" id="{1260CE6C-47D4-484A-ADDC-6C6A60CA0E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165100</xdr:colOff>
      <xdr:row>15</xdr:row>
      <xdr:rowOff>38100</xdr:rowOff>
    </xdr:from>
    <xdr:to>
      <xdr:col>19</xdr:col>
      <xdr:colOff>228600</xdr:colOff>
      <xdr:row>30</xdr:row>
      <xdr:rowOff>114300</xdr:rowOff>
    </xdr:to>
    <xdr:graphicFrame macro="">
      <xdr:nvGraphicFramePr>
        <xdr:cNvPr id="3" name="Chart 2">
          <a:extLst>
            <a:ext uri="{FF2B5EF4-FFF2-40B4-BE49-F238E27FC236}">
              <a16:creationId xmlns:a16="http://schemas.microsoft.com/office/drawing/2014/main" id="{13332D4B-EDE8-47EC-91B3-1EC4C3C67C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38100</xdr:colOff>
      <xdr:row>31</xdr:row>
      <xdr:rowOff>31750</xdr:rowOff>
    </xdr:from>
    <xdr:to>
      <xdr:col>10</xdr:col>
      <xdr:colOff>317500</xdr:colOff>
      <xdr:row>46</xdr:row>
      <xdr:rowOff>107950</xdr:rowOff>
    </xdr:to>
    <xdr:graphicFrame macro="">
      <xdr:nvGraphicFramePr>
        <xdr:cNvPr id="4" name="Chart 3">
          <a:extLst>
            <a:ext uri="{FF2B5EF4-FFF2-40B4-BE49-F238E27FC236}">
              <a16:creationId xmlns:a16="http://schemas.microsoft.com/office/drawing/2014/main" id="{53EB4865-7397-4822-A3F2-0242BA0DF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165100</xdr:colOff>
      <xdr:row>31</xdr:row>
      <xdr:rowOff>38100</xdr:rowOff>
    </xdr:from>
    <xdr:to>
      <xdr:col>19</xdr:col>
      <xdr:colOff>177800</xdr:colOff>
      <xdr:row>46</xdr:row>
      <xdr:rowOff>114300</xdr:rowOff>
    </xdr:to>
    <xdr:graphicFrame macro="">
      <xdr:nvGraphicFramePr>
        <xdr:cNvPr id="6" name="Chart 5">
          <a:extLst>
            <a:ext uri="{FF2B5EF4-FFF2-40B4-BE49-F238E27FC236}">
              <a16:creationId xmlns:a16="http://schemas.microsoft.com/office/drawing/2014/main" id="{B658CCA0-1055-4A98-A1EF-84EE7356B7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12700</xdr:colOff>
      <xdr:row>47</xdr:row>
      <xdr:rowOff>127000</xdr:rowOff>
    </xdr:from>
    <xdr:to>
      <xdr:col>19</xdr:col>
      <xdr:colOff>184150</xdr:colOff>
      <xdr:row>63</xdr:row>
      <xdr:rowOff>25400</xdr:rowOff>
    </xdr:to>
    <xdr:graphicFrame macro="">
      <xdr:nvGraphicFramePr>
        <xdr:cNvPr id="7" name="Chart 6">
          <a:extLst>
            <a:ext uri="{FF2B5EF4-FFF2-40B4-BE49-F238E27FC236}">
              <a16:creationId xmlns:a16="http://schemas.microsoft.com/office/drawing/2014/main" id="{C012E100-B63C-4485-B971-5A3FBAE0E2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127000</xdr:colOff>
      <xdr:row>15</xdr:row>
      <xdr:rowOff>69851</xdr:rowOff>
    </xdr:from>
    <xdr:to>
      <xdr:col>2</xdr:col>
      <xdr:colOff>635000</xdr:colOff>
      <xdr:row>20</xdr:row>
      <xdr:rowOff>44451</xdr:rowOff>
    </xdr:to>
    <mc:AlternateContent xmlns:mc="http://schemas.openxmlformats.org/markup-compatibility/2006">
      <mc:Choice xmlns:a14="http://schemas.microsoft.com/office/drawing/2010/main" Requires="a14">
        <xdr:graphicFrame macro="">
          <xdr:nvGraphicFramePr>
            <xdr:cNvPr id="8" name="Gender 1">
              <a:extLst>
                <a:ext uri="{FF2B5EF4-FFF2-40B4-BE49-F238E27FC236}">
                  <a16:creationId xmlns:a16="http://schemas.microsoft.com/office/drawing/2014/main" id="{26A2D985-CFDC-53C6-E2C0-2778742CFE2A}"/>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27000" y="2914651"/>
              <a:ext cx="1828800" cy="863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146050</xdr:colOff>
      <xdr:row>28</xdr:row>
      <xdr:rowOff>133351</xdr:rowOff>
    </xdr:from>
    <xdr:to>
      <xdr:col>2</xdr:col>
      <xdr:colOff>654050</xdr:colOff>
      <xdr:row>41</xdr:row>
      <xdr:rowOff>12701</xdr:rowOff>
    </xdr:to>
    <mc:AlternateContent xmlns:mc="http://schemas.openxmlformats.org/markup-compatibility/2006">
      <mc:Choice xmlns:a14="http://schemas.microsoft.com/office/drawing/2010/main" Requires="a14">
        <xdr:graphicFrame macro="">
          <xdr:nvGraphicFramePr>
            <xdr:cNvPr id="9" name="Program 2">
              <a:extLst>
                <a:ext uri="{FF2B5EF4-FFF2-40B4-BE49-F238E27FC236}">
                  <a16:creationId xmlns:a16="http://schemas.microsoft.com/office/drawing/2014/main" id="{372785F5-30EA-3086-84A2-76B66B911177}"/>
                </a:ext>
              </a:extLst>
            </xdr:cNvPr>
            <xdr:cNvGraphicFramePr/>
          </xdr:nvGraphicFramePr>
          <xdr:xfrm>
            <a:off x="0" y="0"/>
            <a:ext cx="0" cy="0"/>
          </xdr:xfrm>
          <a:graphic>
            <a:graphicData uri="http://schemas.microsoft.com/office/drawing/2010/slicer">
              <sle:slicer xmlns:sle="http://schemas.microsoft.com/office/drawing/2010/slicer" name="Program 2"/>
            </a:graphicData>
          </a:graphic>
        </xdr:graphicFrame>
      </mc:Choice>
      <mc:Fallback>
        <xdr:sp macro="" textlink="">
          <xdr:nvSpPr>
            <xdr:cNvPr id="0" name=""/>
            <xdr:cNvSpPr>
              <a:spLocks noTextEdit="1"/>
            </xdr:cNvSpPr>
          </xdr:nvSpPr>
          <xdr:spPr>
            <a:xfrm>
              <a:off x="146050" y="5289551"/>
              <a:ext cx="1828800" cy="2190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133350</xdr:colOff>
      <xdr:row>20</xdr:row>
      <xdr:rowOff>101601</xdr:rowOff>
    </xdr:from>
    <xdr:to>
      <xdr:col>2</xdr:col>
      <xdr:colOff>641350</xdr:colOff>
      <xdr:row>28</xdr:row>
      <xdr:rowOff>63501</xdr:rowOff>
    </xdr:to>
    <mc:AlternateContent xmlns:mc="http://schemas.openxmlformats.org/markup-compatibility/2006">
      <mc:Choice xmlns:a14="http://schemas.microsoft.com/office/drawing/2010/main" Requires="a14">
        <xdr:graphicFrame macro="">
          <xdr:nvGraphicFramePr>
            <xdr:cNvPr id="10" name="Study_Mode 2">
              <a:extLst>
                <a:ext uri="{FF2B5EF4-FFF2-40B4-BE49-F238E27FC236}">
                  <a16:creationId xmlns:a16="http://schemas.microsoft.com/office/drawing/2014/main" id="{1AEA8088-CB05-9F7E-2365-891B59EE9596}"/>
                </a:ext>
              </a:extLst>
            </xdr:cNvPr>
            <xdr:cNvGraphicFramePr/>
          </xdr:nvGraphicFramePr>
          <xdr:xfrm>
            <a:off x="0" y="0"/>
            <a:ext cx="0" cy="0"/>
          </xdr:xfrm>
          <a:graphic>
            <a:graphicData uri="http://schemas.microsoft.com/office/drawing/2010/slicer">
              <sle:slicer xmlns:sle="http://schemas.microsoft.com/office/drawing/2010/slicer" name="Study_Mode 2"/>
            </a:graphicData>
          </a:graphic>
        </xdr:graphicFrame>
      </mc:Choice>
      <mc:Fallback>
        <xdr:sp macro="" textlink="">
          <xdr:nvSpPr>
            <xdr:cNvPr id="0" name=""/>
            <xdr:cNvSpPr>
              <a:spLocks noTextEdit="1"/>
            </xdr:cNvSpPr>
          </xdr:nvSpPr>
          <xdr:spPr>
            <a:xfrm>
              <a:off x="133350" y="3835401"/>
              <a:ext cx="1828800" cy="1384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133350</xdr:colOff>
      <xdr:row>41</xdr:row>
      <xdr:rowOff>63501</xdr:rowOff>
    </xdr:from>
    <xdr:to>
      <xdr:col>2</xdr:col>
      <xdr:colOff>641350</xdr:colOff>
      <xdr:row>51</xdr:row>
      <xdr:rowOff>1</xdr:rowOff>
    </xdr:to>
    <mc:AlternateContent xmlns:mc="http://schemas.openxmlformats.org/markup-compatibility/2006">
      <mc:Choice xmlns:a14="http://schemas.microsoft.com/office/drawing/2010/main" Requires="a14">
        <xdr:graphicFrame macro="">
          <xdr:nvGraphicFramePr>
            <xdr:cNvPr id="11" name="Enrollment_Status 2">
              <a:extLst>
                <a:ext uri="{FF2B5EF4-FFF2-40B4-BE49-F238E27FC236}">
                  <a16:creationId xmlns:a16="http://schemas.microsoft.com/office/drawing/2014/main" id="{7C689EBC-1415-096F-6CCB-04644127D5F8}"/>
                </a:ext>
              </a:extLst>
            </xdr:cNvPr>
            <xdr:cNvGraphicFramePr/>
          </xdr:nvGraphicFramePr>
          <xdr:xfrm>
            <a:off x="0" y="0"/>
            <a:ext cx="0" cy="0"/>
          </xdr:xfrm>
          <a:graphic>
            <a:graphicData uri="http://schemas.microsoft.com/office/drawing/2010/slicer">
              <sle:slicer xmlns:sle="http://schemas.microsoft.com/office/drawing/2010/slicer" name="Enrollment_Status 2"/>
            </a:graphicData>
          </a:graphic>
        </xdr:graphicFrame>
      </mc:Choice>
      <mc:Fallback>
        <xdr:sp macro="" textlink="">
          <xdr:nvSpPr>
            <xdr:cNvPr id="0" name=""/>
            <xdr:cNvSpPr>
              <a:spLocks noTextEdit="1"/>
            </xdr:cNvSpPr>
          </xdr:nvSpPr>
          <xdr:spPr>
            <a:xfrm>
              <a:off x="133350" y="7531101"/>
              <a:ext cx="1828800"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139700</xdr:colOff>
      <xdr:row>51</xdr:row>
      <xdr:rowOff>44450</xdr:rowOff>
    </xdr:from>
    <xdr:to>
      <xdr:col>2</xdr:col>
      <xdr:colOff>609600</xdr:colOff>
      <xdr:row>67</xdr:row>
      <xdr:rowOff>44450</xdr:rowOff>
    </xdr:to>
    <mc:AlternateContent xmlns:mc="http://schemas.openxmlformats.org/markup-compatibility/2006">
      <mc:Choice xmlns:a14="http://schemas.microsoft.com/office/drawing/2010/main" Requires="a14">
        <xdr:graphicFrame macro="">
          <xdr:nvGraphicFramePr>
            <xdr:cNvPr id="12" name="Enrollment_Date">
              <a:extLst>
                <a:ext uri="{FF2B5EF4-FFF2-40B4-BE49-F238E27FC236}">
                  <a16:creationId xmlns:a16="http://schemas.microsoft.com/office/drawing/2014/main" id="{59EFDB42-5C75-2EA2-3838-E1380774DF2D}"/>
                </a:ext>
              </a:extLst>
            </xdr:cNvPr>
            <xdr:cNvGraphicFramePr/>
          </xdr:nvGraphicFramePr>
          <xdr:xfrm>
            <a:off x="0" y="0"/>
            <a:ext cx="0" cy="0"/>
          </xdr:xfrm>
          <a:graphic>
            <a:graphicData uri="http://schemas.microsoft.com/office/drawing/2010/slicer">
              <sle:slicer xmlns:sle="http://schemas.microsoft.com/office/drawing/2010/slicer" name="Enrollment_Date"/>
            </a:graphicData>
          </a:graphic>
        </xdr:graphicFrame>
      </mc:Choice>
      <mc:Fallback>
        <xdr:sp macro="" textlink="">
          <xdr:nvSpPr>
            <xdr:cNvPr id="0" name=""/>
            <xdr:cNvSpPr>
              <a:spLocks noTextEdit="1"/>
            </xdr:cNvSpPr>
          </xdr:nvSpPr>
          <xdr:spPr>
            <a:xfrm>
              <a:off x="139700" y="9290050"/>
              <a:ext cx="1790700" cy="2844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107950</xdr:colOff>
      <xdr:row>41</xdr:row>
      <xdr:rowOff>25400</xdr:rowOff>
    </xdr:from>
    <xdr:to>
      <xdr:col>27</xdr:col>
      <xdr:colOff>615950</xdr:colOff>
      <xdr:row>54</xdr:row>
      <xdr:rowOff>153453</xdr:rowOff>
    </xdr:to>
    <mc:AlternateContent xmlns:mc="http://schemas.openxmlformats.org/markup-compatibility/2006">
      <mc:Choice xmlns:a14="http://schemas.microsoft.com/office/drawing/2010/main" Requires="a14">
        <xdr:graphicFrame macro="">
          <xdr:nvGraphicFramePr>
            <xdr:cNvPr id="14" name="Clean_Enrollment_Date">
              <a:extLst>
                <a:ext uri="{FF2B5EF4-FFF2-40B4-BE49-F238E27FC236}">
                  <a16:creationId xmlns:a16="http://schemas.microsoft.com/office/drawing/2014/main" id="{AAD5C6DF-1F27-B2CC-E262-A574849D313C}"/>
                </a:ext>
              </a:extLst>
            </xdr:cNvPr>
            <xdr:cNvGraphicFramePr/>
          </xdr:nvGraphicFramePr>
          <xdr:xfrm>
            <a:off x="0" y="0"/>
            <a:ext cx="0" cy="0"/>
          </xdr:xfrm>
          <a:graphic>
            <a:graphicData uri="http://schemas.microsoft.com/office/drawing/2010/slicer">
              <sle:slicer xmlns:sle="http://schemas.microsoft.com/office/drawing/2010/slicer" name="Clean_Enrollment_Date"/>
            </a:graphicData>
          </a:graphic>
        </xdr:graphicFrame>
      </mc:Choice>
      <mc:Fallback>
        <xdr:sp macro="" textlink="">
          <xdr:nvSpPr>
            <xdr:cNvPr id="0" name=""/>
            <xdr:cNvSpPr>
              <a:spLocks noTextEdit="1"/>
            </xdr:cNvSpPr>
          </xdr:nvSpPr>
          <xdr:spPr>
            <a:xfrm>
              <a:off x="16617950" y="7493000"/>
              <a:ext cx="1828800" cy="24394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10</xdr:row>
      <xdr:rowOff>92075</xdr:rowOff>
    </xdr:from>
    <xdr:to>
      <xdr:col>3</xdr:col>
      <xdr:colOff>838200</xdr:colOff>
      <xdr:row>25</xdr:row>
      <xdr:rowOff>168275</xdr:rowOff>
    </xdr:to>
    <xdr:graphicFrame macro="">
      <xdr:nvGraphicFramePr>
        <xdr:cNvPr id="3" name="Chart 2">
          <a:extLst>
            <a:ext uri="{FF2B5EF4-FFF2-40B4-BE49-F238E27FC236}">
              <a16:creationId xmlns:a16="http://schemas.microsoft.com/office/drawing/2014/main" id="{CD86D78B-71AE-B5FA-7FD1-752CDA2609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8</xdr:row>
      <xdr:rowOff>69850</xdr:rowOff>
    </xdr:from>
    <xdr:to>
      <xdr:col>5</xdr:col>
      <xdr:colOff>88900</xdr:colOff>
      <xdr:row>23</xdr:row>
      <xdr:rowOff>146050</xdr:rowOff>
    </xdr:to>
    <xdr:graphicFrame macro="">
      <xdr:nvGraphicFramePr>
        <xdr:cNvPr id="2" name="Chart 1">
          <a:extLst>
            <a:ext uri="{FF2B5EF4-FFF2-40B4-BE49-F238E27FC236}">
              <a16:creationId xmlns:a16="http://schemas.microsoft.com/office/drawing/2014/main" id="{D1CCAE18-0202-F842-2F8E-CD84CE0821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234950</xdr:colOff>
      <xdr:row>14</xdr:row>
      <xdr:rowOff>38100</xdr:rowOff>
    </xdr:from>
    <xdr:to>
      <xdr:col>9</xdr:col>
      <xdr:colOff>82550</xdr:colOff>
      <xdr:row>27</xdr:row>
      <xdr:rowOff>166153</xdr:rowOff>
    </xdr:to>
    <mc:AlternateContent xmlns:mc="http://schemas.openxmlformats.org/markup-compatibility/2006">
      <mc:Choice xmlns:a14="http://schemas.microsoft.com/office/drawing/2010/main" Requires="a14">
        <xdr:graphicFrame macro="">
          <xdr:nvGraphicFramePr>
            <xdr:cNvPr id="3" name="Study_Mode">
              <a:extLst>
                <a:ext uri="{FF2B5EF4-FFF2-40B4-BE49-F238E27FC236}">
                  <a16:creationId xmlns:a16="http://schemas.microsoft.com/office/drawing/2014/main" id="{DC8613D4-B4AC-E8ED-875B-C21297F08862}"/>
                </a:ext>
              </a:extLst>
            </xdr:cNvPr>
            <xdr:cNvGraphicFramePr/>
          </xdr:nvGraphicFramePr>
          <xdr:xfrm>
            <a:off x="0" y="0"/>
            <a:ext cx="0" cy="0"/>
          </xdr:xfrm>
          <a:graphic>
            <a:graphicData uri="http://schemas.microsoft.com/office/drawing/2010/slicer">
              <sle:slicer xmlns:sle="http://schemas.microsoft.com/office/drawing/2010/slicer" name="Study_Mode"/>
            </a:graphicData>
          </a:graphic>
        </xdr:graphicFrame>
      </mc:Choice>
      <mc:Fallback>
        <xdr:sp macro="" textlink="">
          <xdr:nvSpPr>
            <xdr:cNvPr id="0" name=""/>
            <xdr:cNvSpPr>
              <a:spLocks noTextEdit="1"/>
            </xdr:cNvSpPr>
          </xdr:nvSpPr>
          <xdr:spPr>
            <a:xfrm>
              <a:off x="5378450" y="2527300"/>
              <a:ext cx="1828800" cy="24394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59.365453472223" createdVersion="8" refreshedVersion="8" minRefreshableVersion="3" recordCount="300" xr:uid="{EB37FB4A-C31A-4996-832A-6297841014C6}">
  <cacheSource type="worksheet">
    <worksheetSource name="Table1"/>
  </cacheSource>
  <cacheFields count="8">
    <cacheField name="Student_ID" numFmtId="0">
      <sharedItems count="300">
        <s v="ENR0001"/>
        <s v="ENR0002"/>
        <s v="ENR0003"/>
        <s v="ENR0004"/>
        <s v="ENR0005"/>
        <s v="ENR0006"/>
        <s v="ENR0007"/>
        <s v="ENR0008"/>
        <s v="ENR0009"/>
        <s v="ENR0010"/>
        <s v="ENR0011"/>
        <s v="ENR0012"/>
        <s v="ENR0013"/>
        <s v="ENR0014"/>
        <s v="ENR0015"/>
        <s v="ENR0016"/>
        <s v="ENR0017"/>
        <s v="ENR0018"/>
        <s v="ENR0019"/>
        <s v="ENR0020"/>
        <s v="ENR0021"/>
        <s v="ENR0022"/>
        <s v="ENR0023"/>
        <s v="ENR0024"/>
        <s v="ENR0025"/>
        <s v="ENR0026"/>
        <s v="ENR0027"/>
        <s v="ENR0028"/>
        <s v="ENR0029"/>
        <s v="ENR0030"/>
        <s v="ENR0031"/>
        <s v="ENR0032"/>
        <s v="ENR0033"/>
        <s v="ENR0034"/>
        <s v="ENR0035"/>
        <s v="ENR0036"/>
        <s v="ENR0037"/>
        <s v="ENR0038"/>
        <s v="ENR0039"/>
        <s v="ENR0040"/>
        <s v="ENR0041"/>
        <s v="ENR0042"/>
        <s v="ENR0043"/>
        <s v="ENR0044"/>
        <s v="ENR0045"/>
        <s v="ENR0046"/>
        <s v="ENR0047"/>
        <s v="ENR0048"/>
        <s v="ENR0049"/>
        <s v="ENR0050"/>
        <s v="ENR0051"/>
        <s v="ENR0052"/>
        <s v="ENR0053"/>
        <s v="ENR0054"/>
        <s v="ENR0055"/>
        <s v="ENR0056"/>
        <s v="ENR0057"/>
        <s v="ENR0058"/>
        <s v="ENR0059"/>
        <s v="ENR0060"/>
        <s v="ENR0061"/>
        <s v="ENR0062"/>
        <s v="ENR0063"/>
        <s v="ENR0064"/>
        <s v="ENR0065"/>
        <s v="ENR0066"/>
        <s v="ENR0067"/>
        <s v="ENR0068"/>
        <s v="ENR0069"/>
        <s v="ENR0070"/>
        <s v="ENR0071"/>
        <s v="ENR0072"/>
        <s v="ENR0073"/>
        <s v="ENR0074"/>
        <s v="ENR0075"/>
        <s v="ENR0076"/>
        <s v="ENR0077"/>
        <s v="ENR0078"/>
        <s v="ENR0079"/>
        <s v="ENR0080"/>
        <s v="ENR0081"/>
        <s v="ENR0082"/>
        <s v="ENR0083"/>
        <s v="ENR0084"/>
        <s v="ENR0085"/>
        <s v="ENR0086"/>
        <s v="ENR0087"/>
        <s v="ENR0088"/>
        <s v="ENR0089"/>
        <s v="ENR0090"/>
        <s v="ENR0091"/>
        <s v="ENR0092"/>
        <s v="ENR0093"/>
        <s v="ENR0094"/>
        <s v="ENR0095"/>
        <s v="ENR0096"/>
        <s v="ENR0097"/>
        <s v="ENR0098"/>
        <s v="ENR0099"/>
        <s v="ENR0100"/>
        <s v="ENR0101"/>
        <s v="ENR0102"/>
        <s v="ENR0103"/>
        <s v="ENR0104"/>
        <s v="ENR0105"/>
        <s v="ENR0106"/>
        <s v="ENR0107"/>
        <s v="ENR0108"/>
        <s v="ENR0109"/>
        <s v="ENR0110"/>
        <s v="ENR0111"/>
        <s v="ENR0112"/>
        <s v="ENR0113"/>
        <s v="ENR0114"/>
        <s v="ENR0115"/>
        <s v="ENR0116"/>
        <s v="ENR0117"/>
        <s v="ENR0118"/>
        <s v="ENR0119"/>
        <s v="ENR0120"/>
        <s v="ENR0121"/>
        <s v="ENR0122"/>
        <s v="ENR0123"/>
        <s v="ENR0124"/>
        <s v="ENR0125"/>
        <s v="ENR0126"/>
        <s v="ENR0127"/>
        <s v="ENR0128"/>
        <s v="ENR0129"/>
        <s v="ENR0130"/>
        <s v="ENR0131"/>
        <s v="ENR0132"/>
        <s v="ENR0133"/>
        <s v="ENR0134"/>
        <s v="ENR0135"/>
        <s v="ENR0136"/>
        <s v="ENR0137"/>
        <s v="ENR0138"/>
        <s v="ENR0139"/>
        <s v="ENR0140"/>
        <s v="ENR0141"/>
        <s v="ENR0142"/>
        <s v="ENR0143"/>
        <s v="ENR0144"/>
        <s v="ENR0145"/>
        <s v="ENR0146"/>
        <s v="ENR0147"/>
        <s v="ENR0148"/>
        <s v="ENR0149"/>
        <s v="ENR0150"/>
        <s v="ENR0151"/>
        <s v="ENR0152"/>
        <s v="ENR0153"/>
        <s v="ENR0154"/>
        <s v="ENR0155"/>
        <s v="ENR0156"/>
        <s v="ENR0157"/>
        <s v="ENR0158"/>
        <s v="ENR0159"/>
        <s v="ENR0160"/>
        <s v="ENR0161"/>
        <s v="ENR0162"/>
        <s v="ENR0163"/>
        <s v="ENR0164"/>
        <s v="ENR0165"/>
        <s v="ENR0166"/>
        <s v="ENR0167"/>
        <s v="ENR0168"/>
        <s v="ENR0169"/>
        <s v="ENR0170"/>
        <s v="ENR0171"/>
        <s v="ENR0172"/>
        <s v="ENR0173"/>
        <s v="ENR0174"/>
        <s v="ENR0175"/>
        <s v="ENR0176"/>
        <s v="ENR0177"/>
        <s v="ENR0178"/>
        <s v="ENR0179"/>
        <s v="ENR0180"/>
        <s v="ENR0181"/>
        <s v="ENR0182"/>
        <s v="ENR0183"/>
        <s v="ENR0184"/>
        <s v="ENR0185"/>
        <s v="ENR0186"/>
        <s v="ENR0187"/>
        <s v="ENR0188"/>
        <s v="ENR0189"/>
        <s v="ENR0190"/>
        <s v="ENR0191"/>
        <s v="ENR0192"/>
        <s v="ENR0193"/>
        <s v="ENR0194"/>
        <s v="ENR0195"/>
        <s v="ENR0196"/>
        <s v="ENR0197"/>
        <s v="ENR0198"/>
        <s v="ENR0199"/>
        <s v="ENR0200"/>
        <s v="ENR0201"/>
        <s v="ENR0202"/>
        <s v="ENR0203"/>
        <s v="ENR0204"/>
        <s v="ENR0205"/>
        <s v="ENR0206"/>
        <s v="ENR0207"/>
        <s v="ENR0208"/>
        <s v="ENR0209"/>
        <s v="ENR0210"/>
        <s v="ENR0211"/>
        <s v="ENR0212"/>
        <s v="ENR0213"/>
        <s v="ENR0214"/>
        <s v="ENR0215"/>
        <s v="ENR0216"/>
        <s v="ENR0217"/>
        <s v="ENR0218"/>
        <s v="ENR0219"/>
        <s v="ENR0220"/>
        <s v="ENR0221"/>
        <s v="ENR0222"/>
        <s v="ENR0223"/>
        <s v="ENR0224"/>
        <s v="ENR0225"/>
        <s v="ENR0226"/>
        <s v="ENR0227"/>
        <s v="ENR0228"/>
        <s v="ENR0229"/>
        <s v="ENR0230"/>
        <s v="ENR0231"/>
        <s v="ENR0232"/>
        <s v="ENR0233"/>
        <s v="ENR0234"/>
        <s v="ENR0235"/>
        <s v="ENR0236"/>
        <s v="ENR0237"/>
        <s v="ENR0238"/>
        <s v="ENR0239"/>
        <s v="ENR0240"/>
        <s v="ENR0241"/>
        <s v="ENR0242"/>
        <s v="ENR0243"/>
        <s v="ENR0244"/>
        <s v="ENR0245"/>
        <s v="ENR0246"/>
        <s v="ENR0247"/>
        <s v="ENR0248"/>
        <s v="ENR0249"/>
        <s v="ENR0250"/>
        <s v="ENR0251"/>
        <s v="ENR0252"/>
        <s v="ENR0253"/>
        <s v="ENR0254"/>
        <s v="ENR0255"/>
        <s v="ENR0256"/>
        <s v="ENR0257"/>
        <s v="ENR0258"/>
        <s v="ENR0259"/>
        <s v="ENR0260"/>
        <s v="ENR0261"/>
        <s v="ENR0262"/>
        <s v="ENR0263"/>
        <s v="ENR0264"/>
        <s v="ENR0265"/>
        <s v="ENR0266"/>
        <s v="ENR0267"/>
        <s v="ENR0268"/>
        <s v="ENR0269"/>
        <s v="ENR0270"/>
        <s v="ENR0271"/>
        <s v="ENR0272"/>
        <s v="ENR0273"/>
        <s v="ENR0274"/>
        <s v="ENR0275"/>
        <s v="ENR0276"/>
        <s v="ENR0277"/>
        <s v="ENR0278"/>
        <s v="ENR0279"/>
        <s v="ENR0280"/>
        <s v="ENR0281"/>
        <s v="ENR0282"/>
        <s v="ENR0283"/>
        <s v="ENR0284"/>
        <s v="ENR0285"/>
        <s v="ENR0286"/>
        <s v="ENR0287"/>
        <s v="ENR0288"/>
        <s v="ENR0289"/>
        <s v="ENR0290"/>
        <s v="ENR0291"/>
        <s v="ENR0292"/>
        <s v="ENR0293"/>
        <s v="ENR0294"/>
        <s v="ENR0295"/>
        <s v="ENR0296"/>
        <s v="ENR0297"/>
        <s v="ENR0298"/>
        <s v="ENR0299"/>
        <s v="ENR0300"/>
      </sharedItems>
    </cacheField>
    <cacheField name="Gender" numFmtId="0">
      <sharedItems count="3">
        <s v="Male"/>
        <s v="Female"/>
        <s v="non_gender "/>
      </sharedItems>
    </cacheField>
    <cacheField name="Program" numFmtId="0">
      <sharedItems count="7">
        <s v="Computer Science"/>
        <s v="Public Health"/>
        <s v="Data Science"/>
        <s v="non_program"/>
        <s v="Economics"/>
        <s v="Business Administration"/>
        <s v="Engineering"/>
      </sharedItems>
    </cacheField>
    <cacheField name="Enrollment_Date" numFmtId="164">
      <sharedItems containsDate="1" containsMixedTypes="1" minDate="2025-01-01T00:00:00" maxDate="2026-07-19T00:00:00" count="218">
        <d v="2025-12-03T00:00:00"/>
        <d v="2025-04-25T00:00:00"/>
        <d v="2026-03-24T00:00:00"/>
        <d v="2026-04-09T00:00:00"/>
        <d v="2025-12-19T00:00:00"/>
        <d v="2025-11-10T00:00:00"/>
        <d v="2026-01-18T00:00:00"/>
        <d v="2025-03-10T00:00:00"/>
        <d v="2025-07-05T00:00:00"/>
        <d v="2025-03-14T00:00:00"/>
        <d v="2025-02-04T00:00:00"/>
        <d v="2026-07-18T00:00:00"/>
        <d v="2025-12-20T00:00:00"/>
        <d v="2025-04-01T00:00:00"/>
        <d v="2026-01-03T00:00:00"/>
        <d v="2026-01-09T00:00:00"/>
        <d v="2026-03-06T00:00:00"/>
        <d v="2025-12-11T00:00:00"/>
        <d v="2025-09-12T00:00:00"/>
        <d v="2025-05-24T00:00:00"/>
        <d v="2025-10-12T00:00:00"/>
        <s v="non_date"/>
        <d v="2025-08-18T00:00:00"/>
        <d v="2025-09-28T00:00:00"/>
        <d v="2025-07-17T00:00:00"/>
        <d v="2025-01-11T00:00:00"/>
        <d v="2025-01-12T00:00:00"/>
        <d v="2025-02-18T00:00:00"/>
        <d v="2025-11-07T00:00:00"/>
        <d v="2026-02-13T00:00:00"/>
        <d v="2025-05-27T00:00:00"/>
        <d v="2025-08-23T00:00:00"/>
        <d v="2025-12-02T00:00:00"/>
        <d v="2025-03-22T00:00:00"/>
        <d v="2025-11-22T00:00:00"/>
        <d v="2025-03-11T00:00:00"/>
        <d v="2025-12-16T00:00:00"/>
        <d v="2026-07-10T00:00:00"/>
        <d v="2026-07-06T00:00:00"/>
        <d v="2025-09-17T00:00:00"/>
        <d v="2025-05-01T00:00:00"/>
        <d v="2026-04-27T00:00:00"/>
        <d v="2025-09-08T00:00:00"/>
        <d v="2026-05-02T00:00:00"/>
        <d v="2025-09-03T00:00:00"/>
        <d v="2025-01-28T00:00:00"/>
        <d v="2026-01-30T00:00:00"/>
        <d v="2026-05-01T00:00:00"/>
        <d v="2025-06-09T00:00:00"/>
        <d v="2025-12-18T00:00:00"/>
        <d v="2025-09-11T00:00:00"/>
        <d v="2025-10-15T00:00:00"/>
        <d v="2025-04-27T00:00:00"/>
        <d v="2025-01-25T00:00:00"/>
        <d v="2025-09-18T00:00:00"/>
        <d v="2026-05-20T00:00:00"/>
        <d v="2026-04-15T00:00:00"/>
        <d v="2025-08-12T00:00:00"/>
        <d v="2025-08-09T00:00:00"/>
        <d v="2026-03-21T00:00:00"/>
        <d v="2026-04-01T00:00:00"/>
        <d v="2026-06-23T00:00:00"/>
        <d v="2025-08-27T00:00:00"/>
        <d v="2025-10-22T00:00:00"/>
        <d v="2025-07-04T00:00:00"/>
        <d v="2025-08-29T00:00:00"/>
        <d v="2026-06-11T00:00:00"/>
        <d v="2025-07-31T00:00:00"/>
        <d v="2025-11-26T00:00:00"/>
        <d v="2026-02-22T00:00:00"/>
        <d v="2026-01-17T00:00:00"/>
        <d v="2026-07-09T00:00:00"/>
        <d v="2025-07-16T00:00:00"/>
        <d v="2025-06-03T00:00:00"/>
        <d v="2025-10-03T00:00:00"/>
        <d v="2025-05-10T00:00:00"/>
        <d v="2026-06-26T00:00:00"/>
        <d v="2025-12-25T00:00:00"/>
        <d v="2025-01-18T00:00:00"/>
        <d v="2026-04-03T00:00:00"/>
        <d v="2026-01-19T00:00:00"/>
        <d v="2025-01-22T00:00:00"/>
        <d v="2025-09-24T00:00:00"/>
        <d v="2026-03-01T00:00:00"/>
        <d v="2025-09-19T00:00:00"/>
        <d v="2025-12-06T00:00:00"/>
        <d v="2026-04-23T00:00:00"/>
        <d v="2026-02-16T00:00:00"/>
        <d v="2026-03-12T00:00:00"/>
        <d v="2025-07-08T00:00:00"/>
        <d v="2026-06-16T00:00:00"/>
        <d v="2025-05-21T00:00:00"/>
        <d v="2026-06-25T00:00:00"/>
        <d v="2025-01-16T00:00:00"/>
        <d v="2025-09-16T00:00:00"/>
        <d v="2025-03-27T00:00:00"/>
        <d v="2025-11-08T00:00:00"/>
        <d v="2026-01-06T00:00:00"/>
        <d v="2026-05-06T00:00:00"/>
        <d v="2025-08-03T00:00:00"/>
        <d v="2025-06-10T00:00:00"/>
        <d v="2025-10-04T00:00:00"/>
        <d v="2025-05-14T00:00:00"/>
        <d v="2025-08-04T00:00:00"/>
        <d v="2026-05-25T00:00:00"/>
        <d v="2026-05-22T00:00:00"/>
        <d v="2025-01-15T00:00:00"/>
        <d v="2025-11-21T00:00:00"/>
        <d v="2025-04-20T00:00:00"/>
        <d v="2025-08-22T00:00:00"/>
        <d v="2025-10-09T00:00:00"/>
        <d v="2025-05-06T00:00:00"/>
        <d v="2025-06-13T00:00:00"/>
        <d v="2026-03-20T00:00:00"/>
        <d v="2026-04-14T00:00:00"/>
        <d v="2025-03-24T00:00:00"/>
        <d v="2025-06-07T00:00:00"/>
        <d v="2025-08-15T00:00:00"/>
        <d v="2025-09-07T00:00:00"/>
        <d v="2026-02-14T00:00:00"/>
        <d v="2025-12-15T00:00:00"/>
        <d v="2025-01-26T00:00:00"/>
        <d v="2026-03-11T00:00:00"/>
        <d v="2025-09-20T00:00:00"/>
        <d v="2025-06-18T00:00:00"/>
        <d v="2025-04-05T00:00:00"/>
        <d v="2025-11-20T00:00:00"/>
        <d v="2025-07-20T00:00:00"/>
        <d v="2025-08-24T00:00:00"/>
        <d v="2025-05-26T00:00:00"/>
        <d v="2025-06-05T00:00:00"/>
        <d v="2026-06-28T00:00:00"/>
        <d v="2025-11-15T00:00:00"/>
        <d v="2026-06-02T00:00:00"/>
        <d v="2026-01-16T00:00:00"/>
        <d v="2026-04-20T00:00:00"/>
        <d v="2026-02-11T00:00:00"/>
        <d v="2025-09-10T00:00:00"/>
        <d v="2026-06-17T00:00:00"/>
        <d v="2025-12-31T00:00:00"/>
        <d v="2025-07-10T00:00:00"/>
        <d v="2026-04-16T00:00:00"/>
        <d v="2025-01-06T00:00:00"/>
        <d v="2026-01-10T00:00:00"/>
        <d v="2026-04-18T00:00:00"/>
        <d v="2025-05-31T00:00:00"/>
        <d v="2026-02-04T00:00:00"/>
        <d v="2026-04-05T00:00:00"/>
        <d v="2025-01-05T00:00:00"/>
        <d v="2025-10-19T00:00:00"/>
        <d v="2025-02-07T00:00:00"/>
        <d v="2025-08-21T00:00:00"/>
        <d v="2025-06-22T00:00:00"/>
        <d v="2025-03-17T00:00:00"/>
        <d v="2026-06-08T00:00:00"/>
        <d v="2026-02-23T00:00:00"/>
        <d v="2026-07-14T00:00:00"/>
        <d v="2025-09-29T00:00:00"/>
        <d v="2025-03-08T00:00:00"/>
        <d v="2025-07-18T00:00:00"/>
        <d v="2025-02-22T00:00:00"/>
        <d v="2025-12-21T00:00:00"/>
        <d v="2026-01-27T00:00:00"/>
        <d v="2025-11-13T00:00:00"/>
        <d v="2025-08-07T00:00:00"/>
        <d v="2025-01-21T00:00:00"/>
        <d v="2025-07-03T00:00:00"/>
        <d v="2025-06-17T00:00:00"/>
        <d v="2026-05-26T00:00:00"/>
        <d v="2026-03-04T00:00:00"/>
        <d v="2025-12-01T00:00:00"/>
        <d v="2025-02-28T00:00:00"/>
        <d v="2026-05-19T00:00:00"/>
        <d v="2026-03-27T00:00:00"/>
        <d v="2025-03-12T00:00:00"/>
        <d v="2025-06-23T00:00:00"/>
        <d v="2026-06-03T00:00:00"/>
        <d v="2025-03-02T00:00:00"/>
        <d v="2026-06-14T00:00:00"/>
        <d v="2026-01-26T00:00:00"/>
        <d v="2025-02-24T00:00:00"/>
        <d v="2025-08-17T00:00:00"/>
        <d v="2025-11-01T00:00:00"/>
        <d v="2026-02-20T00:00:00"/>
        <d v="2025-05-09T00:00:00"/>
        <d v="2025-04-07T00:00:00"/>
        <d v="2025-01-31T00:00:00"/>
        <d v="2025-06-06T00:00:00"/>
        <d v="2026-05-14T00:00:00"/>
        <d v="2025-04-18T00:00:00"/>
        <d v="2025-07-30T00:00:00"/>
        <d v="2025-04-29T00:00:00"/>
        <d v="2025-07-09T00:00:00"/>
        <d v="2025-01-27T00:00:00"/>
        <d v="2025-12-04T00:00:00"/>
        <d v="2025-02-21T00:00:00"/>
        <d v="2025-06-21T00:00:00"/>
        <d v="2025-10-10T00:00:00"/>
        <d v="2025-08-01T00:00:00"/>
        <d v="2025-01-01T00:00:00"/>
        <d v="2025-02-09T00:00:00"/>
        <d v="2025-03-30T00:00:00"/>
        <d v="2025-04-12T00:00:00"/>
        <d v="2026-02-10T00:00:00"/>
        <d v="2026-07-05T00:00:00"/>
        <d v="2025-04-24T00:00:00"/>
        <d v="2025-07-12T00:00:00"/>
        <d v="2026-06-20T00:00:00"/>
        <d v="2025-07-25T00:00:00"/>
        <d v="2025-07-11T00:00:00"/>
        <d v="2026-02-18T00:00:00"/>
        <d v="2025-11-04T00:00:00"/>
        <d v="2026-05-23T00:00:00"/>
        <d v="2025-01-10T00:00:00"/>
        <d v="2026-01-22T00:00:00"/>
        <d v="2025-05-08T00:00:00"/>
        <d v="2026-07-16T00:00:00"/>
        <d v="2025-12-13T00:00:00"/>
      </sharedItems>
      <fieldGroup par="7"/>
    </cacheField>
    <cacheField name="Study_Mode" numFmtId="0">
      <sharedItems count="4">
        <s v="Full-Time"/>
        <s v="Online"/>
        <s v="Part-Time"/>
        <s v="non_stady_mode"/>
      </sharedItems>
    </cacheField>
    <cacheField name="Tuition_Fee" numFmtId="165">
      <sharedItems containsMixedTypes="1" containsNumber="1" minValue="709.26" maxValue="1379.03"/>
    </cacheField>
    <cacheField name="Enrollment_Status" numFmtId="0">
      <sharedItems count="5">
        <s v="non_status"/>
        <s v="Active"/>
        <s v="Withdrawn"/>
        <s v="Graduated"/>
        <s v="Deferred"/>
      </sharedItems>
    </cacheField>
    <cacheField name="Enrollment_Date2" numFmtId="0" databaseField="0">
      <fieldGroup base="3">
        <discretePr count="218">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discretePr>
        <groupItems count="1">
          <s v="Group1"/>
        </groupItems>
      </fieldGroup>
    </cacheField>
  </cacheFields>
  <extLst>
    <ext xmlns:x14="http://schemas.microsoft.com/office/spreadsheetml/2009/9/main" uri="{725AE2AE-9491-48be-B2B4-4EB974FC3084}">
      <x14:pivotCacheDefinition pivotCacheId="112635343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59.455609606484" backgroundQuery="1" createdVersion="8" refreshedVersion="8" minRefreshableVersion="3" recordCount="0" supportSubquery="1" supportAdvancedDrill="1" xr:uid="{02EBD680-6336-447E-B645-1DF06830AF95}">
  <cacheSource type="external" connectionId="1"/>
  <cacheFields count="3">
    <cacheField name="[Table1].[Monthly].[Monthly]" caption="Monthly" numFmtId="0" hierarchy="8" level="1">
      <sharedItems count="10">
        <s v="#VALUE!"/>
        <s v="1"/>
        <s v="11"/>
        <s v="12"/>
        <s v="2"/>
        <s v="3"/>
        <s v="5"/>
        <s v="6"/>
        <s v="7"/>
        <s v="8"/>
      </sharedItems>
    </cacheField>
    <cacheField name="[Measures].[Count of Student_ID]" caption="Count of Student_ID" numFmtId="0" hierarchy="12" level="32767"/>
    <cacheField name="[Table1].[Enrollment_Date].[Enrollment_Date]" caption="Enrollment_Date" numFmtId="0" hierarchy="3" level="1">
      <sharedItems containsSemiMixedTypes="0" containsNonDate="0" containsString="0"/>
    </cacheField>
  </cacheFields>
  <cacheHierarchies count="14">
    <cacheHierarchy uniqueName="[Table1].[Student_ID]" caption="Student_ID" attribute="1" defaultMemberUniqueName="[Table1].[Student_ID].[All]" allUniqueName="[Table1].[Student_ID].[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Program]" caption="Program" attribute="1" defaultMemberUniqueName="[Table1].[Program].[All]" allUniqueName="[Table1].[Program].[All]" dimensionUniqueName="[Table1]" displayFolder="" count="2" memberValueDatatype="130" unbalanced="0"/>
    <cacheHierarchy uniqueName="[Table1].[Enrollment_Date]" caption="Enrollment_Date" attribute="1" defaultMemberUniqueName="[Table1].[Enrollment_Date].[All]" allUniqueName="[Table1].[Enrollment_Date].[All]" dimensionUniqueName="[Table1]" displayFolder="" count="2" memberValueDatatype="130" unbalanced="0">
      <fieldsUsage count="2">
        <fieldUsage x="-1"/>
        <fieldUsage x="2"/>
      </fieldsUsage>
    </cacheHierarchy>
    <cacheHierarchy uniqueName="[Table1].[Study_Mode]" caption="Study_Mode" attribute="1" defaultMemberUniqueName="[Table1].[Study_Mode].[All]" allUniqueName="[Table1].[Study_Mode].[All]" dimensionUniqueName="[Table1]" displayFolder="" count="2" memberValueDatatype="130" unbalanced="0"/>
    <cacheHierarchy uniqueName="[Table1].[Tuition_Fee]" caption="Tuition_Fee" attribute="1" defaultMemberUniqueName="[Table1].[Tuition_Fee].[All]" allUniqueName="[Table1].[Tuition_Fee].[All]" dimensionUniqueName="[Table1]" displayFolder="" count="2" memberValueDatatype="130" unbalanced="0"/>
    <cacheHierarchy uniqueName="[Table1].[Enrollment_Status]" caption="Enrollment_Status" attribute="1" defaultMemberUniqueName="[Table1].[Enrollment_Status].[All]" allUniqueName="[Table1].[Enrollment_Status].[All]" dimensionUniqueName="[Table1]" displayFolder="" count="2" memberValueDatatype="130" unbalanced="0"/>
    <cacheHierarchy uniqueName="[Table1].[Year]" caption="Year" attribute="1" defaultMemberUniqueName="[Table1].[Year].[All]" allUniqueName="[Table1].[Year].[All]" dimensionUniqueName="[Table1]" displayFolder="" count="2" memberValueDatatype="130" unbalanced="0"/>
    <cacheHierarchy uniqueName="[Table1].[Monthly]" caption="Monthly" attribute="1" defaultMemberUniqueName="[Table1].[Monthly].[All]" allUniqueName="[Table1].[Monthly].[All]" dimensionUniqueName="[Table1]" displayFolder="" count="2" memberValueDatatype="130" unbalanced="0">
      <fieldsUsage count="2">
        <fieldUsage x="-1"/>
        <fieldUsage x="0"/>
      </fieldsUsage>
    </cacheHierarchy>
    <cacheHierarchy uniqueName="[Table1].[Clean_Enrollment_Date]" caption="Clean_Enrollment_Date" attribute="1" defaultMemberUniqueName="[Table1].[Clean_Enrollment_Date].[All]" allUniqueName="[Table1].[Clean_Enrollment_Date].[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tudent_ID]" caption="Count of Student_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Tuition_Fee]" caption="Count of Tuition_Fee"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59.455608449076" backgroundQuery="1" createdVersion="8" refreshedVersion="8" minRefreshableVersion="3" recordCount="0" supportSubquery="1" supportAdvancedDrill="1" xr:uid="{A58632FB-8A48-47F0-8592-2909BC260B3E}">
  <cacheSource type="external" connectionId="1"/>
  <cacheFields count="3">
    <cacheField name="[Table1].[Monthly].[Monthly]" caption="Monthly" numFmtId="0" hierarchy="8" level="1">
      <sharedItems count="9">
        <s v="1"/>
        <s v="11"/>
        <s v="12"/>
        <s v="2"/>
        <s v="3"/>
        <s v="5"/>
        <s v="6"/>
        <s v="7"/>
        <s v="8"/>
      </sharedItems>
    </cacheField>
    <cacheField name="[Measures].[Count of Tuition_Fee]" caption="Count of Tuition_Fee" numFmtId="0" hierarchy="13" level="32767"/>
    <cacheField name="[Table1].[Enrollment_Date].[Enrollment_Date]" caption="Enrollment_Date" numFmtId="0" hierarchy="3" level="1">
      <sharedItems containsSemiMixedTypes="0" containsNonDate="0" containsString="0"/>
    </cacheField>
  </cacheFields>
  <cacheHierarchies count="14">
    <cacheHierarchy uniqueName="[Table1].[Student_ID]" caption="Student_ID" attribute="1" defaultMemberUniqueName="[Table1].[Student_ID].[All]" allUniqueName="[Table1].[Student_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Program]" caption="Program" attribute="1" defaultMemberUniqueName="[Table1].[Program].[All]" allUniqueName="[Table1].[Program].[All]" dimensionUniqueName="[Table1]" displayFolder="" count="0" memberValueDatatype="130" unbalanced="0"/>
    <cacheHierarchy uniqueName="[Table1].[Enrollment_Date]" caption="Enrollment_Date" attribute="1" defaultMemberUniqueName="[Table1].[Enrollment_Date].[All]" allUniqueName="[Table1].[Enrollment_Date].[All]" dimensionUniqueName="[Table1]" displayFolder="" count="2" memberValueDatatype="130" unbalanced="0">
      <fieldsUsage count="2">
        <fieldUsage x="-1"/>
        <fieldUsage x="2"/>
      </fieldsUsage>
    </cacheHierarchy>
    <cacheHierarchy uniqueName="[Table1].[Study_Mode]" caption="Study_Mode" attribute="1" defaultMemberUniqueName="[Table1].[Study_Mode].[All]" allUniqueName="[Table1].[Study_Mode].[All]" dimensionUniqueName="[Table1]" displayFolder="" count="0" memberValueDatatype="130" unbalanced="0"/>
    <cacheHierarchy uniqueName="[Table1].[Tuition_Fee]" caption="Tuition_Fee" attribute="1" defaultMemberUniqueName="[Table1].[Tuition_Fee].[All]" allUniqueName="[Table1].[Tuition_Fee].[All]" dimensionUniqueName="[Table1]" displayFolder="" count="0" memberValueDatatype="130" unbalanced="0"/>
    <cacheHierarchy uniqueName="[Table1].[Enrollment_Status]" caption="Enrollment_Status" attribute="1" defaultMemberUniqueName="[Table1].[Enrollment_Status].[All]" allUniqueName="[Table1].[Enrollment_Status].[All]" dimensionUniqueName="[Table1]" displayFolder="" count="0" memberValueDatatype="130" unbalanced="0"/>
    <cacheHierarchy uniqueName="[Table1].[Year]" caption="Year" attribute="1" defaultMemberUniqueName="[Table1].[Year].[All]" allUniqueName="[Table1].[Year].[All]" dimensionUniqueName="[Table1]" displayFolder="" count="0" memberValueDatatype="130" unbalanced="0"/>
    <cacheHierarchy uniqueName="[Table1].[Monthly]" caption="Monthly" attribute="1" defaultMemberUniqueName="[Table1].[Monthly].[All]" allUniqueName="[Table1].[Monthly].[All]" dimensionUniqueName="[Table1]" displayFolder="" count="2" memberValueDatatype="130" unbalanced="0">
      <fieldsUsage count="2">
        <fieldUsage x="-1"/>
        <fieldUsage x="0"/>
      </fieldsUsage>
    </cacheHierarchy>
    <cacheHierarchy uniqueName="[Table1].[Clean_Enrollment_Date]" caption="Clean_Enrollment_Date" attribute="1" defaultMemberUniqueName="[Table1].[Clean_Enrollment_Date].[All]" allUniqueName="[Table1].[Clean_Enrollment_Date].[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tudent_ID]" caption="Count of Student_ID" measure="1" displayFolder="" measureGroup="Table1" count="0" hidden="1">
      <extLst>
        <ext xmlns:x15="http://schemas.microsoft.com/office/spreadsheetml/2010/11/main" uri="{B97F6D7D-B522-45F9-BDA1-12C45D357490}">
          <x15:cacheHierarchy aggregatedColumn="0"/>
        </ext>
      </extLst>
    </cacheHierarchy>
    <cacheHierarchy uniqueName="[Measures].[Count of Tuition_Fee]" caption="Count of Tuition_Fee"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51.913457754628" createdVersion="8" refreshedVersion="8" minRefreshableVersion="3" recordCount="300" xr:uid="{80FE8C58-8412-499C-8E6C-F4BB1323B5F9}">
  <cacheSource type="worksheet">
    <worksheetSource name="Table2"/>
  </cacheSource>
  <cacheFields count="9">
    <cacheField name="Student_ID" numFmtId="0">
      <sharedItems count="300">
        <s v="ENR0121"/>
        <s v="ENR0259"/>
        <s v="ENR0174"/>
        <s v="ENR0039"/>
        <s v="ENR0159"/>
        <s v="ENR0135"/>
        <s v="ENR0038"/>
        <s v="ENR0185"/>
        <s v="ENR0299"/>
        <s v="ENR0286"/>
        <s v="ENR0132"/>
        <s v="ENR0292"/>
        <s v="ENR0202"/>
        <s v="ENR0204"/>
        <s v="ENR0144"/>
        <s v="ENR0276"/>
        <s v="ENR0126"/>
        <s v="ENR0046"/>
        <s v="ENR0070"/>
        <s v="ENR0071"/>
        <s v="ENR0182"/>
        <s v="ENR0228"/>
        <s v="ENR0231"/>
        <s v="ENR0150"/>
        <s v="ENR0083"/>
        <s v="ENR0170"/>
        <s v="ENR0032"/>
        <s v="ENR0124"/>
        <s v="ENR0285"/>
        <s v="ENR0107"/>
        <s v="ENR0243"/>
        <s v="ENR0261"/>
        <s v="ENR0257"/>
        <s v="ENR0287"/>
        <s v="ENR0158"/>
        <s v="ENR0108"/>
        <s v="ENR0075"/>
        <s v="ENR0033"/>
        <s v="ENR0237"/>
        <s v="ENR0041"/>
        <s v="ENR0180"/>
        <s v="ENR0098"/>
        <s v="ENR0268"/>
        <s v="ENR0100"/>
        <s v="ENR0263"/>
        <s v="ENR0128"/>
        <s v="ENR0069"/>
        <s v="ENR0078"/>
        <s v="ENR0105"/>
        <s v="ENR0036"/>
        <s v="ENR0200"/>
        <s v="ENR0195"/>
        <s v="ENR0060"/>
        <s v="ENR0061"/>
        <s v="ENR0241"/>
        <s v="ENR0027"/>
        <s v="ENR0283"/>
        <s v="ENR0149"/>
        <s v="ENR0235"/>
        <s v="ENR0165"/>
        <s v="ENR0191"/>
        <s v="ENR0014"/>
        <s v="ENR0116"/>
        <s v="ENR0019"/>
        <s v="ENR0281"/>
        <s v="ENR0097"/>
        <s v="ENR0119"/>
        <s v="ENR0265"/>
        <s v="ENR0300"/>
        <s v="ENR0143"/>
        <s v="ENR0118"/>
        <s v="ENR0178"/>
        <s v="ENR0210"/>
        <s v="ENR0212"/>
        <s v="ENR0029"/>
        <s v="ENR0051"/>
        <s v="ENR0052"/>
        <s v="ENR0002"/>
        <s v="ENR0222"/>
        <s v="ENR0177"/>
        <s v="ENR0208"/>
        <s v="ENR0139"/>
        <s v="ENR0277"/>
        <s v="ENR0232"/>
        <s v="ENR0168"/>
        <s v="ENR0117"/>
        <s v="ENR0112"/>
        <s v="ENR0138"/>
        <s v="ENR0207"/>
        <s v="ENR0133"/>
        <s v="ENR0042"/>
        <s v="ENR0215"/>
        <s v="ENR0211"/>
        <s v="ENR0092"/>
        <s v="ENR0148"/>
        <s v="ENR0034"/>
        <s v="ENR0247"/>
        <s v="ENR0183"/>
        <s v="ENR0154"/>
        <s v="ENR0187"/>
        <s v="ENR0115"/>
        <s v="ENR0244"/>
        <s v="ENR0096"/>
        <s v="ENR0095"/>
        <s v="ENR0113"/>
        <s v="ENR0050"/>
        <s v="ENR0295"/>
        <s v="ENR0009"/>
        <s v="ENR0239"/>
        <s v="ENR0094"/>
        <s v="ENR0201"/>
        <s v="ENR0004"/>
        <s v="ENR0166"/>
        <s v="ENR0012"/>
        <s v="ENR0164"/>
        <s v="ENR0111"/>
        <s v="ENR0003"/>
        <s v="ENR0005"/>
        <s v="ENR0216"/>
        <s v="ENR0120"/>
        <s v="ENR0024"/>
        <s v="ENR0025"/>
        <s v="ENR0028"/>
        <s v="ENR0298"/>
        <s v="ENR0167"/>
        <s v="ENR0031"/>
        <s v="ENR0020"/>
        <s v="ENR0279"/>
        <s v="ENR0296"/>
        <s v="ENR0297"/>
        <s v="ENR0156"/>
        <s v="ENR0219"/>
        <s v="ENR0153"/>
        <s v="ENR0077"/>
        <s v="ENR0080"/>
        <s v="ENR0079"/>
        <s v="ENR0134"/>
        <s v="ENR0223"/>
        <s v="ENR0086"/>
        <s v="ENR0233"/>
        <s v="ENR0218"/>
        <s v="ENR0057"/>
        <s v="ENR0058"/>
        <s v="ENR0236"/>
        <s v="ENR0284"/>
        <s v="ENR0089"/>
        <s v="ENR0013"/>
        <s v="ENR0054"/>
        <s v="ENR0129"/>
        <s v="ENR0082"/>
        <s v="ENR0084"/>
        <s v="ENR0192"/>
        <s v="ENR0193"/>
        <s v="ENR0246"/>
        <s v="ENR0064"/>
        <s v="ENR0037"/>
        <s v="ENR0273"/>
        <s v="ENR0072"/>
        <s v="ENR0214"/>
        <s v="ENR0152"/>
        <s v="ENR0242"/>
        <s v="ENR0059"/>
        <s v="ENR0085"/>
        <s v="ENR0171"/>
        <s v="ENR0125"/>
        <s v="ENR0188"/>
        <s v="ENR0102"/>
        <s v="ENR0220"/>
        <s v="ENR0256"/>
        <s v="ENR0288"/>
        <s v="ENR0109"/>
        <s v="ENR0245"/>
        <s v="ENR0238"/>
        <s v="ENR0253"/>
        <s v="ENR0291"/>
        <s v="ENR0249"/>
        <s v="ENR0250"/>
        <s v="ENR0198"/>
        <s v="ENR0090"/>
        <s v="ENR0252"/>
        <s v="ENR0184"/>
        <s v="ENR0146"/>
        <s v="ENR0186"/>
        <s v="ENR0230"/>
        <s v="ENR0044"/>
        <s v="ENR0289"/>
        <s v="ENR0175"/>
        <s v="ENR0266"/>
        <s v="ENR0221"/>
        <s v="ENR0179"/>
        <s v="ENR0280"/>
        <s v="ENR0145"/>
        <s v="ENR0255"/>
        <s v="ENR0176"/>
        <s v="ENR0008"/>
        <s v="ENR0161"/>
        <s v="ENR0226"/>
        <s v="ENR0091"/>
        <s v="ENR0157"/>
        <s v="ENR0169"/>
        <s v="ENR0088"/>
        <s v="ENR0021"/>
        <s v="ENR0103"/>
        <s v="ENR0066"/>
        <s v="ENR0045"/>
        <s v="ENR0016"/>
        <s v="ENR0114"/>
        <s v="ENR0056"/>
        <s v="ENR0081"/>
        <s v="ENR0093"/>
        <s v="ENR0043"/>
        <s v="ENR0205"/>
        <s v="ENR0206"/>
        <s v="ENR0224"/>
        <s v="ENR0199"/>
        <s v="ENR0062"/>
        <s v="ENR0234"/>
        <s v="ENR0007"/>
        <s v="ENR0151"/>
        <s v="ENR0106"/>
        <s v="ENR0194"/>
        <s v="ENR0203"/>
        <s v="ENR0099"/>
        <s v="ENR0010"/>
        <s v="ENR0227"/>
        <s v="ENR0137"/>
        <s v="ENR0018"/>
        <s v="ENR0190"/>
        <s v="ENR0101"/>
        <s v="ENR0001"/>
        <s v="ENR0063"/>
        <s v="ENR0278"/>
        <s v="ENR0172"/>
        <s v="ENR0140"/>
        <s v="ENR0049"/>
        <s v="ENR0110"/>
        <s v="ENR0275"/>
        <s v="ENR0274"/>
        <s v="ENR0127"/>
        <s v="ENR0181"/>
        <s v="ENR0147"/>
        <s v="ENR0271"/>
        <s v="ENR0272"/>
        <s v="ENR0282"/>
        <s v="ENR0290"/>
        <s v="ENR0130"/>
        <s v="ENR0026"/>
        <s v="ENR0065"/>
        <s v="ENR0189"/>
        <s v="ENR0155"/>
        <s v="ENR0122"/>
        <s v="ENR0055"/>
        <s v="ENR0197"/>
        <s v="ENR0011"/>
        <s v="ENR0073"/>
        <s v="ENR0270"/>
        <s v="ENR0196"/>
        <s v="ENR0040"/>
        <s v="ENR0047"/>
        <s v="ENR0053"/>
        <s v="ENR0229"/>
        <s v="ENR0136"/>
        <s v="ENR0104"/>
        <s v="ENR0074"/>
        <s v="ENR0141"/>
        <s v="ENR0023"/>
        <s v="ENR0142"/>
        <s v="ENR0030"/>
        <s v="ENR0294"/>
        <s v="ENR0017"/>
        <s v="ENR0251"/>
        <s v="ENR0209"/>
        <s v="ENR0267"/>
        <s v="ENR0264"/>
        <s v="ENR0293"/>
        <s v="ENR0076"/>
        <s v="ENR0048"/>
        <s v="ENR0240"/>
        <s v="ENR0217"/>
        <s v="ENR0248"/>
        <s v="ENR0087"/>
        <s v="ENR0035"/>
        <s v="ENR0258"/>
        <s v="ENR0260"/>
        <s v="ENR0173"/>
        <s v="ENR0163"/>
        <s v="ENR0254"/>
        <s v="ENR0160"/>
        <s v="ENR0022"/>
        <s v="ENR0067"/>
        <s v="ENR0162"/>
        <s v="ENR0225"/>
        <s v="ENR0131"/>
        <s v="ENR0262"/>
        <s v="ENR0068"/>
        <s v="ENR0269"/>
        <s v="ENR0015"/>
        <s v="ENR0006"/>
        <s v="ENR0123"/>
        <s v="ENR0213"/>
      </sharedItems>
    </cacheField>
    <cacheField name="Gender" numFmtId="0">
      <sharedItems count="2">
        <s v="Male"/>
        <s v="Female"/>
      </sharedItems>
    </cacheField>
    <cacheField name="Program" numFmtId="0">
      <sharedItems count="6">
        <s v="Economics"/>
        <s v="Computer Science"/>
        <s v="Business Administration"/>
        <s v="Public Health"/>
        <s v="Data Science"/>
        <s v="Engineering"/>
      </sharedItems>
    </cacheField>
    <cacheField name="Enrollment_Date" numFmtId="164">
      <sharedItems containsSemiMixedTypes="0" containsNonDate="0" containsDate="1" containsString="0" minDate="2025-01-01T00:00:00" maxDate="2026-07-19T00:00:00" count="228">
        <d v="2026-02-17T00:00:00"/>
        <d v="2025-07-30T00:00:00"/>
        <d v="2025-06-05T00:00:00"/>
        <d v="2025-03-11T00:00:00"/>
        <d v="2025-01-26T00:00:00"/>
        <d v="2025-11-21T00:00:00"/>
        <d v="2025-11-22T00:00:00"/>
        <d v="2026-02-11T00:00:00"/>
        <d v="2026-07-16T00:00:00"/>
        <d v="2026-04-18T00:00:00"/>
        <d v="2026-05-25T00:00:00"/>
        <d v="2025-11-04T00:00:00"/>
        <d v="2026-01-16T00:00:00"/>
        <d v="2025-02-07T00:00:00"/>
        <d v="2025-05-10T00:00:00"/>
        <d v="2025-01-01T00:00:00"/>
        <d v="2025-06-10T00:00:00"/>
        <d v="2026-04-27T00:00:00"/>
        <d v="2025-08-09T00:00:00"/>
        <d v="2025-06-17T00:00:00"/>
        <d v="2026-03-04T00:00:00"/>
        <d v="2025-01-18T00:00:00"/>
        <d v="2026-02-22T00:00:00"/>
        <d v="2025-08-24T00:00:00"/>
        <d v="2025-06-18T00:00:00"/>
        <d v="2025-08-03T00:00:00"/>
        <d v="2025-07-12T00:00:00"/>
        <d v="2026-04-23T00:00:00"/>
        <d v="2026-01-26T00:00:00"/>
        <d v="2025-10-03T00:00:00"/>
        <d v="2026-05-14T00:00:00"/>
        <d v="2026-06-20T00:00:00"/>
        <d v="2025-12-15T00:00:00"/>
        <d v="2026-02-16T00:00:00"/>
        <d v="2025-08-27T00:00:00"/>
        <d v="2026-02-13T00:00:00"/>
        <d v="2026-04-14T00:00:00"/>
        <d v="2025-03-12T00:00:00"/>
        <d v="2026-06-02T00:00:00"/>
        <d v="2026-05-20T00:00:00"/>
        <d v="2025-08-21T00:00:00"/>
        <d v="2025-01-22T00:00:00"/>
        <d v="2025-01-27T00:00:00"/>
        <d v="2025-10-04T00:00:00"/>
        <d v="2025-08-12T00:00:00"/>
        <d v="2025-08-29T00:00:00"/>
        <d v="2025-07-31T00:00:00"/>
        <d v="2025-12-02T00:00:00"/>
        <d v="2026-03-24T00:00:00"/>
        <d v="2026-01-10T00:00:00"/>
        <d v="2025-09-11T00:00:00"/>
        <d v="2025-03-02T00:00:00"/>
        <d v="2025-07-17T00:00:00"/>
        <d v="2025-04-24T00:00:00"/>
        <d v="2025-06-07T00:00:00"/>
        <d v="2026-03-27T00:00:00"/>
        <d v="2025-11-20T00:00:00"/>
        <d v="2025-12-20T00:00:00"/>
        <d v="2025-09-16T00:00:00"/>
        <d v="2025-12-11T00:00:00"/>
        <d v="2026-02-10T00:00:00"/>
        <d v="2026-01-19T00:00:00"/>
        <d v="2026-07-07T00:00:00"/>
        <d v="2025-12-04T00:00:00"/>
        <d v="2025-12-13T00:00:00"/>
        <d v="2025-03-27T00:00:00"/>
        <d v="2026-06-29T00:00:00"/>
        <d v="2026-06-08T00:00:00"/>
        <d v="2026-02-23T00:00:00"/>
        <d v="2025-01-12T00:00:00"/>
        <d v="2025-04-25T00:00:00"/>
        <d v="2025-07-10T00:00:00"/>
        <d v="2025-06-22T00:00:00"/>
        <d v="2025-10-09T00:00:00"/>
        <d v="2025-02-09T00:00:00"/>
        <d v="2025-12-01T00:00:00"/>
        <d v="2025-07-20T00:00:00"/>
        <d v="2025-09-03T00:00:00"/>
        <d v="2025-08-22T00:00:00"/>
        <d v="2025-10-20T00:00:00"/>
        <d v="2026-05-22T00:00:00"/>
        <d v="2026-07-10T00:00:00"/>
        <d v="2025-09-29T00:00:00"/>
        <d v="2026-06-26T00:00:00"/>
        <d v="2026-01-17T00:00:00"/>
        <d v="2025-05-27T00:00:00"/>
        <d v="2025-09-08T00:00:00"/>
        <d v="2026-06-17T00:00:00"/>
        <d v="2025-01-16T00:00:00"/>
        <d v="2025-02-24T00:00:00"/>
        <d v="2026-04-03T00:00:00"/>
        <d v="2025-04-27T00:00:00"/>
        <d v="2025-05-21T00:00:00"/>
        <d v="2026-05-03T00:00:00"/>
        <d v="2026-01-22T00:00:00"/>
        <d v="2025-07-05T00:00:00"/>
        <d v="2025-06-13T00:00:00"/>
        <d v="2025-01-05T00:00:00"/>
        <d v="2026-04-09T00:00:00"/>
        <d v="2025-11-26T00:00:00"/>
        <d v="2025-12-19T00:00:00"/>
        <d v="2025-04-05T00:00:00"/>
        <d v="2026-06-16T00:00:00"/>
        <d v="2025-03-08T00:00:00"/>
        <d v="2025-11-08T00:00:00"/>
        <d v="2025-05-26T00:00:00"/>
        <d v="2025-08-18T00:00:00"/>
        <d v="2025-01-11T00:00:00"/>
        <d v="2025-09-21T00:00:00"/>
        <d v="2025-11-07T00:00:00"/>
        <d v="2025-09-12T00:00:00"/>
        <d v="2025-04-12T00:00:00"/>
        <d v="2025-05-08T00:00:00"/>
        <d v="2025-07-09T00:00:00"/>
        <d v="2025-04-01T00:00:00"/>
        <d v="2025-12-21T00:00:00"/>
        <d v="2025-09-07T00:00:00"/>
        <d v="2025-07-04T00:00:00"/>
        <d v="2026-06-11T00:00:00"/>
        <d v="2025-01-15T00:00:00"/>
        <d v="2025-08-07T00:00:00"/>
        <d v="2026-01-18T00:00:00"/>
        <d v="2025-02-28T00:00:00"/>
        <d v="2025-02-22T00:00:00"/>
        <d v="2025-01-29T00:00:00"/>
        <d v="2025-06-09T00:00:00"/>
        <d v="2026-04-20T00:00:00"/>
        <d v="2025-06-03T00:00:00"/>
        <d v="2026-07-18T00:00:00"/>
        <d v="2025-01-28T00:00:00"/>
        <d v="2025-05-14T00:00:00"/>
        <d v="2025-01-06T00:00:00"/>
        <d v="2025-08-17T00:00:00"/>
        <d v="2025-03-22T00:00:00"/>
        <d v="2025-10-10T00:00:00"/>
        <d v="2026-03-21T00:00:00"/>
        <d v="2025-09-17T00:00:00"/>
        <d v="2025-08-15T00:00:00"/>
        <d v="2026-06-14T00:00:00"/>
        <d v="2025-12-18T00:00:00"/>
        <d v="2026-07-09T00:00:00"/>
        <d v="2025-12-31T00:00:00"/>
        <d v="2026-03-01T00:00:00"/>
        <d v="2026-01-27T00:00:00"/>
        <d v="2026-02-21T00:00:00"/>
        <d v="2025-07-25T00:00:00"/>
        <d v="2026-03-12T00:00:00"/>
        <d v="2025-06-23T00:00:00"/>
        <d v="2025-04-07T00:00:00"/>
        <d v="2026-02-04T00:00:00"/>
        <d v="2025-05-09T00:00:00"/>
        <d v="2025-09-10T00:00:00"/>
        <d v="2026-05-26T00:00:00"/>
        <d v="2025-07-11T00:00:00"/>
        <d v="2026-06-28T00:00:00"/>
        <d v="2025-07-18T00:00:00"/>
        <d v="2025-11-13T00:00:00"/>
        <d v="2025-11-15T00:00:00"/>
        <d v="2025-06-06T00:00:00"/>
        <d v="2025-03-10T00:00:00"/>
        <d v="2026-03-11T00:00:00"/>
        <d v="2025-07-03T00:00:00"/>
        <d v="2026-07-06T00:00:00"/>
        <d v="2025-11-27T00:00:00"/>
        <d v="2025-05-24T00:00:00"/>
        <d v="2025-09-19T00:00:00"/>
        <d v="2025-09-18T00:00:00"/>
        <d v="2025-05-01T00:00:00"/>
        <d v="2026-01-03T00:00:00"/>
        <d v="2026-06-25T00:00:00"/>
        <d v="2026-05-01T00:00:00"/>
        <d v="2025-02-18T00:00:00"/>
        <d v="2025-12-25T00:00:00"/>
        <d v="2026-04-05T00:00:00"/>
        <d v="2025-09-28T00:00:00"/>
        <d v="2026-05-19T00:00:00"/>
        <d v="2025-04-20T00:00:00"/>
        <d v="2025-12-06T00:00:00"/>
        <d v="2025-10-19T00:00:00"/>
        <d v="2025-03-14T00:00:00"/>
        <d v="2026-03-06T00:00:00"/>
        <d v="2026-04-16T00:00:00"/>
        <d v="2025-09-24T00:00:00"/>
        <d v="2025-12-03T00:00:00"/>
        <d v="2025-10-15T00:00:00"/>
        <d v="2025-03-30T00:00:00"/>
        <d v="2025-05-06T00:00:00"/>
        <d v="2026-05-02T00:00:00"/>
        <d v="2025-07-08T00:00:00"/>
        <d v="2025-08-01T00:00:00"/>
        <d v="2025-03-24T00:00:00"/>
        <d v="2025-06-21T00:00:00"/>
        <d v="2026-07-05T00:00:00"/>
        <d v="2026-02-18T00:00:00"/>
        <d v="2025-08-04T00:00:00"/>
        <d v="2025-01-25T00:00:00"/>
        <d v="2026-02-14T00:00:00"/>
        <d v="2026-01-06T00:00:00"/>
        <d v="2026-01-30T00:00:00"/>
        <d v="2025-05-31T00:00:00"/>
        <d v="2025-02-04T00:00:00"/>
        <d v="2026-04-01T00:00:00"/>
        <d v="2025-07-19T00:00:00"/>
        <d v="2025-12-16T00:00:00"/>
        <d v="2025-09-20T00:00:00"/>
        <d v="2026-06-23T00:00:00"/>
        <d v="2025-05-25T00:00:00"/>
        <d v="2026-03-20T00:00:00"/>
        <d v="2025-01-10T00:00:00"/>
        <d v="2026-01-09T00:00:00"/>
        <d v="2026-02-20T00:00:00"/>
        <d v="2025-03-17T00:00:00"/>
        <d v="2026-05-23T00:00:00"/>
        <d v="2025-10-22T00:00:00"/>
        <d v="2026-06-03T00:00:00"/>
        <d v="2025-11-01T00:00:00"/>
        <d v="2025-07-16T00:00:00"/>
        <d v="2025-08-23T00:00:00"/>
        <d v="2025-04-18T00:00:00"/>
        <d v="2025-04-29T00:00:00"/>
        <d v="2025-01-31T00:00:00"/>
        <d v="2025-10-12T00:00:00"/>
        <d v="2025-01-21T00:00:00"/>
        <d v="2026-04-15T00:00:00"/>
        <d v="2025-02-21T00:00:00"/>
        <d v="2025-11-10T00:00:00"/>
        <d v="2026-05-06T00:00:00"/>
        <d v="2026-07-14T00:00:00"/>
      </sharedItems>
      <fieldGroup par="8" base="3">
        <rangePr groupBy="months" startDate="2025-01-01T00:00:00" endDate="2026-07-19T00:00:00"/>
        <groupItems count="14">
          <s v="&lt;1/1/2025"/>
          <s v="Jan"/>
          <s v="Feb"/>
          <s v="Mar"/>
          <s v="Apr"/>
          <s v="May"/>
          <s v="Jun"/>
          <s v="Jul"/>
          <s v="Aug"/>
          <s v="Sep"/>
          <s v="Oct"/>
          <s v="Nov"/>
          <s v="Dec"/>
          <s v="&gt;7/19/2026"/>
        </groupItems>
      </fieldGroup>
    </cacheField>
    <cacheField name="Study_Mode" numFmtId="0">
      <sharedItems count="3">
        <s v="Online"/>
        <s v="Full-Time"/>
        <s v="Part-Time"/>
      </sharedItems>
    </cacheField>
    <cacheField name="Tuition_Fee" numFmtId="166">
      <sharedItems containsSemiMixedTypes="0" containsString="0" containsNumber="1" minValue="709.26" maxValue="1379.03" count="285">
        <n v="717.16"/>
        <n v="720.97"/>
        <n v="729.7"/>
        <n v="736.59"/>
        <n v="738.48"/>
        <n v="750.77"/>
        <n v="750.89"/>
        <n v="751.55"/>
        <n v="753.39"/>
        <n v="753.5"/>
        <n v="760.13"/>
        <n v="760.42"/>
        <n v="761.42"/>
        <n v="764.29"/>
        <n v="769.49"/>
        <n v="772.18"/>
        <n v="792.94"/>
        <n v="792.99"/>
        <n v="794.13"/>
        <n v="795"/>
        <n v="799.37"/>
        <n v="801.43"/>
        <n v="803.55"/>
        <n v="804.04"/>
        <n v="805.2"/>
        <n v="808.66"/>
        <n v="808.9"/>
        <n v="810.27"/>
        <n v="815.31"/>
        <n v="816.86"/>
        <n v="817.62"/>
        <n v="830.35"/>
        <n v="831.91"/>
        <n v="832.04"/>
        <n v="833.87"/>
        <n v="834.99"/>
        <n v="835.71"/>
        <n v="838.79"/>
        <n v="849.2"/>
        <n v="851.3"/>
        <n v="857.26"/>
        <n v="858.41"/>
        <n v="860.03"/>
        <n v="864.1"/>
        <n v="865.04"/>
        <n v="866.01"/>
        <n v="866.46"/>
        <n v="866.74"/>
        <n v="871.41"/>
        <n v="874.56"/>
        <n v="874.8"/>
        <n v="875.13"/>
        <n v="877.02"/>
        <n v="878.75"/>
        <n v="881.14"/>
        <n v="885.07"/>
        <n v="886.5"/>
        <n v="887.16"/>
        <n v="890.93"/>
        <n v="893.1"/>
        <n v="893.17"/>
        <n v="893.95"/>
        <n v="898.83"/>
        <n v="899.84"/>
        <n v="900.67"/>
        <n v="901.18"/>
        <n v="910.16"/>
        <n v="913.93"/>
        <n v="915.99"/>
        <n v="919.12"/>
        <n v="920.54"/>
        <n v="922.81"/>
        <n v="928.88"/>
        <n v="929.8"/>
        <n v="929.94"/>
        <n v="931.58"/>
        <n v="933.95"/>
        <n v="938.05"/>
        <n v="938.18"/>
        <n v="946.69"/>
        <n v="947.68"/>
        <n v="951.72"/>
        <n v="954.23"/>
        <n v="954.48"/>
        <n v="958"/>
        <n v="958.74"/>
        <n v="960.91"/>
        <n v="961.52"/>
        <n v="964.89"/>
        <n v="968.97"/>
        <n v="970.52"/>
        <n v="972.65"/>
        <n v="974.04"/>
        <n v="974.48"/>
        <n v="981.21"/>
        <n v="981.23"/>
        <n v="984.71"/>
        <n v="988.35"/>
        <n v="990.07"/>
        <n v="997.33"/>
        <n v="998.74"/>
        <n v="1000.77"/>
        <n v="1005.74"/>
        <n v="1006.87"/>
        <n v="1014.19"/>
        <n v="1014.23"/>
        <n v="1018"/>
        <n v="1019"/>
        <n v="1019.28"/>
        <n v="1020"/>
        <n v="1020.21"/>
        <n v="1021.44"/>
        <n v="1028.3499999999999"/>
        <n v="1035.3900000000001"/>
        <n v="1039.18"/>
        <n v="1043.3"/>
        <n v="1048"/>
        <n v="1049"/>
        <n v="1050"/>
        <n v="1057.04"/>
        <n v="1057.9100000000001"/>
        <n v="1064.99"/>
        <n v="1065.3699999999999"/>
        <n v="1065.77"/>
        <n v="1067.4100000000001"/>
        <n v="1068.0999999999999"/>
        <n v="1068.25"/>
        <n v="1069.75"/>
        <n v="1073.8399999999999"/>
        <n v="1080.26"/>
        <n v="1083.1500000000001"/>
        <n v="1083.3599999999999"/>
        <n v="1087.06"/>
        <n v="1088.1400000000001"/>
        <n v="1098.3800000000001"/>
        <n v="1098.67"/>
        <n v="1116.57"/>
        <n v="1120"/>
        <n v="1126.1199999999999"/>
        <n v="1136.0899999999999"/>
        <n v="1138.77"/>
        <n v="1140.6500000000001"/>
        <n v="1142.5999999999999"/>
        <n v="1143.52"/>
        <n v="1145.76"/>
        <n v="1146.3399999999999"/>
        <n v="1149.3"/>
        <n v="1155.3800000000001"/>
        <n v="1155.73"/>
        <n v="1156.26"/>
        <n v="1164.6500000000001"/>
        <n v="1164.8599999999999"/>
        <n v="1178.08"/>
        <n v="1178.9000000000001"/>
        <n v="1180.3"/>
        <n v="1187.6099999999999"/>
        <n v="1197.4000000000001"/>
        <n v="1198.92"/>
        <n v="1204.23"/>
        <n v="1206.44"/>
        <n v="1222.31"/>
        <n v="1228.17"/>
        <n v="1230.78"/>
        <n v="1233.48"/>
        <n v="1235.1199999999999"/>
        <n v="1257.3800000000001"/>
        <n v="1274.06"/>
        <n v="1317.6"/>
        <n v="1332.91"/>
        <n v="1339.08"/>
        <n v="1358.18"/>
        <n v="1379.03"/>
        <n v="730.94"/>
        <n v="737.5"/>
        <n v="758.22"/>
        <n v="768.19"/>
        <n v="789.47"/>
        <n v="820.49"/>
        <n v="823.71"/>
        <n v="872.09"/>
        <n v="905.56"/>
        <n v="907.19"/>
        <n v="936.29"/>
        <n v="962.27"/>
        <n v="971.14"/>
        <n v="1004.89"/>
        <n v="1034.99"/>
        <n v="1071.8800000000001"/>
        <n v="1089.1400000000001"/>
        <n v="1103.72"/>
        <n v="1105.49"/>
        <n v="1146.98"/>
        <n v="1156.29"/>
        <n v="1172"/>
        <n v="1173.08"/>
        <n v="1186.5"/>
        <n v="1208.6400000000001"/>
        <n v="1245.26"/>
        <n v="1246.8399999999999"/>
        <n v="1252.22"/>
        <n v="1259.54"/>
        <n v="1352.42"/>
        <n v="1354.04"/>
        <n v="709.26"/>
        <n v="750.28"/>
        <n v="767.19"/>
        <n v="777.72"/>
        <n v="816.32"/>
        <n v="823.61"/>
        <n v="825.79"/>
        <n v="830.91"/>
        <n v="857.18"/>
        <n v="871.11"/>
        <n v="872.41"/>
        <n v="896.69"/>
        <n v="900.21"/>
        <n v="901.17"/>
        <n v="905.83"/>
        <n v="914.71"/>
        <n v="926.63"/>
        <n v="927.99"/>
        <n v="944.77"/>
        <n v="946.4"/>
        <n v="951.34"/>
        <n v="969.17"/>
        <n v="978.96"/>
        <n v="989.73"/>
        <n v="996.32"/>
        <n v="997.61"/>
        <n v="998.42"/>
        <n v="1004.33"/>
        <n v="1005.5"/>
        <n v="1006.17"/>
        <n v="1014.33"/>
        <n v="1014.93"/>
        <n v="1027.6300000000001"/>
        <n v="1036.3800000000001"/>
        <n v="1037.53"/>
        <n v="1042.6600000000001"/>
        <n v="1044.45"/>
        <n v="1046.24"/>
        <n v="1046.94"/>
        <n v="1056.72"/>
        <n v="1059.92"/>
        <n v="1071.49"/>
        <n v="1084.1500000000001"/>
        <n v="1085.1500000000001"/>
        <n v="1089.42"/>
        <n v="1101.9000000000001"/>
        <n v="1105.23"/>
        <n v="1111.25"/>
        <n v="1120.7"/>
        <n v="1129.42"/>
        <n v="1137.3499999999999"/>
        <n v="1155.26"/>
        <n v="1165.03"/>
        <n v="1175.69"/>
        <n v="1185.1400000000001"/>
        <n v="1197.51"/>
        <n v="1211.08"/>
        <n v="1218.96"/>
        <n v="1219.68"/>
        <n v="1244.6400000000001"/>
        <n v="1305.94"/>
        <n v="1339.88"/>
        <n v="1357.89"/>
        <n v="1374.35"/>
        <n v="720.2"/>
        <n v="886.2"/>
        <n v="1064.78"/>
        <n v="1261"/>
        <n v="734.56"/>
        <n v="761.3"/>
        <n v="774.58"/>
        <n v="817.84"/>
        <n v="887.69"/>
        <n v="1021.08"/>
        <n v="1022.73"/>
        <n v="1038.53"/>
        <n v="1127.96"/>
        <n v="1197.05"/>
        <n v="1239.3399999999999"/>
        <n v="1254.82"/>
        <n v="1260.08"/>
        <n v="1262.8800000000001"/>
      </sharedItems>
    </cacheField>
    <cacheField name="Enrollment_Status" numFmtId="0">
      <sharedItems count="5">
        <s v="Active"/>
        <s v="Deferred"/>
        <s v="Graduated"/>
        <s v="Withdraw"/>
        <s v="Withdrawn"/>
      </sharedItems>
    </cacheField>
    <cacheField name="Quarters" numFmtId="0" databaseField="0">
      <fieldGroup base="3">
        <rangePr groupBy="quarters" startDate="2025-01-01T00:00:00" endDate="2026-07-19T00:00:00"/>
        <groupItems count="6">
          <s v="&lt;1/1/2025"/>
          <s v="Qtr1"/>
          <s v="Qtr2"/>
          <s v="Qtr3"/>
          <s v="Qtr4"/>
          <s v="&gt;7/19/2026"/>
        </groupItems>
      </fieldGroup>
    </cacheField>
    <cacheField name="Years" numFmtId="0" databaseField="0">
      <fieldGroup base="3">
        <rangePr groupBy="years" startDate="2025-01-01T00:00:00" endDate="2026-07-19T00:00:00"/>
        <groupItems count="4">
          <s v="&lt;1/1/2025"/>
          <s v="2025"/>
          <s v="2026"/>
          <s v="&gt;7/19/2026"/>
        </groupItems>
      </fieldGroup>
    </cacheField>
  </cacheFields>
  <extLst>
    <ext xmlns:x14="http://schemas.microsoft.com/office/spreadsheetml/2009/9/main" uri="{725AE2AE-9491-48be-B2B4-4EB974FC3084}">
      <x14:pivotCacheDefinition pivotCacheId="1032209485"/>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59.45165127315" backgroundQuery="1" createdVersion="3" refreshedVersion="8" minRefreshableVersion="3" recordCount="0" supportSubquery="1" supportAdvancedDrill="1" xr:uid="{2D88C76C-01A6-4AB0-B7CE-511EF13AB205}">
  <cacheSource type="external" connectionId="1">
    <extLst>
      <ext xmlns:x14="http://schemas.microsoft.com/office/spreadsheetml/2009/9/main" uri="{F057638F-6D5F-4e77-A914-E7F072B9BCA8}">
        <x14:sourceConnection name="ThisWorkbookDataModel"/>
      </ext>
    </extLst>
  </cacheSource>
  <cacheFields count="0"/>
  <cacheHierarchies count="14">
    <cacheHierarchy uniqueName="[Table1].[Student_ID]" caption="Student_ID" attribute="1" defaultMemberUniqueName="[Table1].[Student_ID].[All]" allUniqueName="[Table1].[Student_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Program]" caption="Program" attribute="1" defaultMemberUniqueName="[Table1].[Program].[All]" allUniqueName="[Table1].[Program].[All]" dimensionUniqueName="[Table1]" displayFolder="" count="0" memberValueDatatype="130" unbalanced="0"/>
    <cacheHierarchy uniqueName="[Table1].[Enrollment_Date]" caption="Enrollment_Date" attribute="1" defaultMemberUniqueName="[Table1].[Enrollment_Date].[All]" allUniqueName="[Table1].[Enrollment_Date].[All]" dimensionUniqueName="[Table1]" displayFolder="" count="2" memberValueDatatype="130" unbalanced="0"/>
    <cacheHierarchy uniqueName="[Table1].[Study_Mode]" caption="Study_Mode" attribute="1" defaultMemberUniqueName="[Table1].[Study_Mode].[All]" allUniqueName="[Table1].[Study_Mode].[All]" dimensionUniqueName="[Table1]" displayFolder="" count="0" memberValueDatatype="130" unbalanced="0"/>
    <cacheHierarchy uniqueName="[Table1].[Tuition_Fee]" caption="Tuition_Fee" attribute="1" defaultMemberUniqueName="[Table1].[Tuition_Fee].[All]" allUniqueName="[Table1].[Tuition_Fee].[All]" dimensionUniqueName="[Table1]" displayFolder="" count="0" memberValueDatatype="130" unbalanced="0"/>
    <cacheHierarchy uniqueName="[Table1].[Enrollment_Status]" caption="Enrollment_Status" attribute="1" defaultMemberUniqueName="[Table1].[Enrollment_Status].[All]" allUniqueName="[Table1].[Enrollment_Status].[All]" dimensionUniqueName="[Table1]" displayFolder="" count="0" memberValueDatatype="130" unbalanced="0"/>
    <cacheHierarchy uniqueName="[Table1].[Year]" caption="Year" attribute="1" defaultMemberUniqueName="[Table1].[Year].[All]" allUniqueName="[Table1].[Year].[All]" dimensionUniqueName="[Table1]" displayFolder="" count="2" memberValueDatatype="130" unbalanced="0"/>
    <cacheHierarchy uniqueName="[Table1].[Monthly]" caption="Monthly" attribute="1" defaultMemberUniqueName="[Table1].[Monthly].[All]" allUniqueName="[Table1].[Monthly].[All]" dimensionUniqueName="[Table1]" displayFolder="" count="0" memberValueDatatype="130" unbalanced="0"/>
    <cacheHierarchy uniqueName="[Table1].[Clean_Enrollment_Date]" caption="Clean_Enrollment_Date" attribute="1" defaultMemberUniqueName="[Table1].[Clean_Enrollment_Date].[All]" allUniqueName="[Table1].[Clean_Enrollment_Date].[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tudent_ID]" caption="Count of Student_ID" measure="1" displayFolder="" measureGroup="Table1" count="0" hidden="1">
      <extLst>
        <ext xmlns:x15="http://schemas.microsoft.com/office/spreadsheetml/2010/11/main" uri="{B97F6D7D-B522-45F9-BDA1-12C45D357490}">
          <x15:cacheHierarchy aggregatedColumn="0"/>
        </ext>
      </extLst>
    </cacheHierarchy>
    <cacheHierarchy uniqueName="[Measures].[Count of Tuition_Fee]" caption="Count of Tuition_Fee" measure="1" displayFolder="" measureGroup="Table1"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476197910"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x v="0"/>
    <x v="0"/>
    <x v="0"/>
    <n v="927.99"/>
    <x v="0"/>
  </r>
  <r>
    <x v="1"/>
    <x v="1"/>
    <x v="0"/>
    <x v="1"/>
    <x v="1"/>
    <n v="929.8"/>
    <x v="1"/>
  </r>
  <r>
    <x v="2"/>
    <x v="0"/>
    <x v="1"/>
    <x v="2"/>
    <x v="0"/>
    <n v="1028.3499999999999"/>
    <x v="1"/>
  </r>
  <r>
    <x v="3"/>
    <x v="0"/>
    <x v="2"/>
    <x v="3"/>
    <x v="2"/>
    <s v="non_fee"/>
    <x v="1"/>
  </r>
  <r>
    <x v="4"/>
    <x v="1"/>
    <x v="0"/>
    <x v="4"/>
    <x v="0"/>
    <n v="1035.3900000000001"/>
    <x v="1"/>
  </r>
  <r>
    <x v="5"/>
    <x v="1"/>
    <x v="3"/>
    <x v="5"/>
    <x v="0"/>
    <n v="1254.82"/>
    <x v="2"/>
  </r>
  <r>
    <x v="6"/>
    <x v="0"/>
    <x v="1"/>
    <x v="6"/>
    <x v="0"/>
    <n v="825.79"/>
    <x v="3"/>
  </r>
  <r>
    <x v="7"/>
    <x v="0"/>
    <x v="0"/>
    <x v="7"/>
    <x v="2"/>
    <n v="1034.99"/>
    <x v="4"/>
  </r>
  <r>
    <x v="8"/>
    <x v="1"/>
    <x v="0"/>
    <x v="8"/>
    <x v="0"/>
    <n v="1006.87"/>
    <x v="1"/>
  </r>
  <r>
    <x v="9"/>
    <x v="2"/>
    <x v="0"/>
    <x v="9"/>
    <x v="2"/>
    <n v="896.69"/>
    <x v="3"/>
  </r>
  <r>
    <x v="10"/>
    <x v="1"/>
    <x v="0"/>
    <x v="10"/>
    <x v="2"/>
    <n v="1046.24"/>
    <x v="3"/>
  </r>
  <r>
    <x v="11"/>
    <x v="0"/>
    <x v="2"/>
    <x v="4"/>
    <x v="3"/>
    <s v="non_fee"/>
    <x v="1"/>
  </r>
  <r>
    <x v="12"/>
    <x v="1"/>
    <x v="2"/>
    <x v="11"/>
    <x v="0"/>
    <n v="1140.6500000000001"/>
    <x v="1"/>
  </r>
  <r>
    <x v="13"/>
    <x v="0"/>
    <x v="0"/>
    <x v="12"/>
    <x v="0"/>
    <n v="890.93"/>
    <x v="1"/>
  </r>
  <r>
    <x v="14"/>
    <x v="0"/>
    <x v="3"/>
    <x v="13"/>
    <x v="0"/>
    <n v="1239.3399999999999"/>
    <x v="2"/>
  </r>
  <r>
    <x v="15"/>
    <x v="1"/>
    <x v="3"/>
    <x v="14"/>
    <x v="1"/>
    <n v="1245.26"/>
    <x v="4"/>
  </r>
  <r>
    <x v="16"/>
    <x v="0"/>
    <x v="2"/>
    <x v="15"/>
    <x v="0"/>
    <n v="1175.69"/>
    <x v="3"/>
  </r>
  <r>
    <x v="17"/>
    <x v="1"/>
    <x v="0"/>
    <x v="16"/>
    <x v="1"/>
    <n v="905.83"/>
    <x v="3"/>
  </r>
  <r>
    <x v="18"/>
    <x v="0"/>
    <x v="4"/>
    <x v="17"/>
    <x v="2"/>
    <n v="893.17"/>
    <x v="1"/>
  </r>
  <r>
    <x v="19"/>
    <x v="2"/>
    <x v="2"/>
    <x v="18"/>
    <x v="0"/>
    <n v="1065.3699999999999"/>
    <x v="1"/>
  </r>
  <r>
    <x v="20"/>
    <x v="1"/>
    <x v="2"/>
    <x v="19"/>
    <x v="0"/>
    <n v="1172"/>
    <x v="4"/>
  </r>
  <r>
    <x v="21"/>
    <x v="1"/>
    <x v="1"/>
    <x v="20"/>
    <x v="0"/>
    <s v="non_fee"/>
    <x v="2"/>
  </r>
  <r>
    <x v="22"/>
    <x v="1"/>
    <x v="2"/>
    <x v="21"/>
    <x v="0"/>
    <n v="1129.42"/>
    <x v="3"/>
  </r>
  <r>
    <x v="23"/>
    <x v="1"/>
    <x v="2"/>
    <x v="21"/>
    <x v="0"/>
    <n v="1048"/>
    <x v="1"/>
  </r>
  <r>
    <x v="24"/>
    <x v="1"/>
    <x v="2"/>
    <x v="22"/>
    <x v="0"/>
    <s v="non_fee"/>
    <x v="1"/>
  </r>
  <r>
    <x v="25"/>
    <x v="0"/>
    <x v="0"/>
    <x v="23"/>
    <x v="3"/>
    <n v="1014.33"/>
    <x v="3"/>
  </r>
  <r>
    <x v="26"/>
    <x v="0"/>
    <x v="1"/>
    <x v="24"/>
    <x v="0"/>
    <n v="877.02"/>
    <x v="1"/>
  </r>
  <r>
    <x v="27"/>
    <x v="1"/>
    <x v="2"/>
    <x v="25"/>
    <x v="0"/>
    <s v="non_fee"/>
    <x v="1"/>
  </r>
  <r>
    <x v="28"/>
    <x v="0"/>
    <x v="1"/>
    <x v="26"/>
    <x v="0"/>
    <n v="922.81"/>
    <x v="1"/>
  </r>
  <r>
    <x v="29"/>
    <x v="0"/>
    <x v="2"/>
    <x v="27"/>
    <x v="0"/>
    <n v="1155.26"/>
    <x v="3"/>
  </r>
  <r>
    <x v="30"/>
    <x v="1"/>
    <x v="0"/>
    <x v="28"/>
    <x v="0"/>
    <n v="1064.99"/>
    <x v="1"/>
  </r>
  <r>
    <x v="31"/>
    <x v="1"/>
    <x v="5"/>
    <x v="21"/>
    <x v="3"/>
    <n v="808.66"/>
    <x v="1"/>
  </r>
  <r>
    <x v="32"/>
    <x v="1"/>
    <x v="5"/>
    <x v="29"/>
    <x v="2"/>
    <n v="834.99"/>
    <x v="1"/>
  </r>
  <r>
    <x v="33"/>
    <x v="0"/>
    <x v="1"/>
    <x v="30"/>
    <x v="0"/>
    <n v="972.65"/>
    <x v="0"/>
  </r>
  <r>
    <x v="34"/>
    <x v="0"/>
    <x v="0"/>
    <x v="31"/>
    <x v="1"/>
    <n v="886.2"/>
    <x v="0"/>
  </r>
  <r>
    <x v="35"/>
    <x v="1"/>
    <x v="5"/>
    <x v="32"/>
    <x v="3"/>
    <n v="866.74"/>
    <x v="0"/>
  </r>
  <r>
    <x v="36"/>
    <x v="0"/>
    <x v="2"/>
    <x v="33"/>
    <x v="0"/>
    <s v="non_fee"/>
    <x v="1"/>
  </r>
  <r>
    <x v="37"/>
    <x v="1"/>
    <x v="5"/>
    <x v="34"/>
    <x v="1"/>
    <n v="750.89"/>
    <x v="1"/>
  </r>
  <r>
    <x v="38"/>
    <x v="0"/>
    <x v="5"/>
    <x v="35"/>
    <x v="0"/>
    <n v="736.59"/>
    <x v="1"/>
  </r>
  <r>
    <x v="39"/>
    <x v="1"/>
    <x v="0"/>
    <x v="36"/>
    <x v="0"/>
    <n v="1071.49"/>
    <x v="3"/>
  </r>
  <r>
    <x v="40"/>
    <x v="0"/>
    <x v="5"/>
    <x v="21"/>
    <x v="2"/>
    <n v="838.79"/>
    <x v="1"/>
  </r>
  <r>
    <x v="41"/>
    <x v="2"/>
    <x v="1"/>
    <x v="37"/>
    <x v="1"/>
    <n v="960.91"/>
    <x v="1"/>
  </r>
  <r>
    <x v="42"/>
    <x v="0"/>
    <x v="6"/>
    <x v="38"/>
    <x v="2"/>
    <n v="1354.04"/>
    <x v="4"/>
  </r>
  <r>
    <x v="43"/>
    <x v="0"/>
    <x v="5"/>
    <x v="39"/>
    <x v="0"/>
    <n v="789.47"/>
    <x v="4"/>
  </r>
  <r>
    <x v="44"/>
    <x v="1"/>
    <x v="6"/>
    <x v="40"/>
    <x v="1"/>
    <n v="1208.6400000000001"/>
    <x v="0"/>
  </r>
  <r>
    <x v="45"/>
    <x v="1"/>
    <x v="5"/>
    <x v="41"/>
    <x v="0"/>
    <n v="792.99"/>
    <x v="1"/>
  </r>
  <r>
    <x v="46"/>
    <x v="1"/>
    <x v="2"/>
    <x v="42"/>
    <x v="1"/>
    <n v="1084.1500000000001"/>
    <x v="3"/>
  </r>
  <r>
    <x v="47"/>
    <x v="1"/>
    <x v="6"/>
    <x v="3"/>
    <x v="0"/>
    <n v="1305.94"/>
    <x v="3"/>
  </r>
  <r>
    <x v="48"/>
    <x v="1"/>
    <x v="1"/>
    <x v="43"/>
    <x v="0"/>
    <s v="non_fee"/>
    <x v="3"/>
  </r>
  <r>
    <x v="49"/>
    <x v="0"/>
    <x v="1"/>
    <x v="21"/>
    <x v="2"/>
    <n v="1000.77"/>
    <x v="1"/>
  </r>
  <r>
    <x v="50"/>
    <x v="0"/>
    <x v="0"/>
    <x v="34"/>
    <x v="0"/>
    <n v="928.88"/>
    <x v="1"/>
  </r>
  <r>
    <x v="51"/>
    <x v="0"/>
    <x v="0"/>
    <x v="34"/>
    <x v="0"/>
    <n v="928.88"/>
    <x v="1"/>
  </r>
  <r>
    <x v="52"/>
    <x v="1"/>
    <x v="2"/>
    <x v="44"/>
    <x v="0"/>
    <s v="non_fee"/>
    <x v="3"/>
  </r>
  <r>
    <x v="53"/>
    <x v="0"/>
    <x v="6"/>
    <x v="45"/>
    <x v="0"/>
    <n v="1142.5999999999999"/>
    <x v="1"/>
  </r>
  <r>
    <x v="54"/>
    <x v="0"/>
    <x v="0"/>
    <x v="46"/>
    <x v="0"/>
    <n v="1042.6600000000001"/>
    <x v="3"/>
  </r>
  <r>
    <x v="55"/>
    <x v="0"/>
    <x v="2"/>
    <x v="47"/>
    <x v="0"/>
    <n v="1252.22"/>
    <x v="4"/>
  </r>
  <r>
    <x v="56"/>
    <x v="0"/>
    <x v="6"/>
    <x v="21"/>
    <x v="0"/>
    <n v="1116.57"/>
    <x v="1"/>
  </r>
  <r>
    <x v="57"/>
    <x v="1"/>
    <x v="6"/>
    <x v="48"/>
    <x v="2"/>
    <n v="1120"/>
    <x v="1"/>
  </r>
  <r>
    <x v="58"/>
    <x v="0"/>
    <x v="2"/>
    <x v="49"/>
    <x v="0"/>
    <n v="1187.6099999999999"/>
    <x v="1"/>
  </r>
  <r>
    <x v="59"/>
    <x v="1"/>
    <x v="4"/>
    <x v="50"/>
    <x v="2"/>
    <n v="874.8"/>
    <x v="1"/>
  </r>
  <r>
    <x v="60"/>
    <x v="1"/>
    <x v="4"/>
    <x v="50"/>
    <x v="2"/>
    <n v="874.8"/>
    <x v="1"/>
  </r>
  <r>
    <x v="61"/>
    <x v="1"/>
    <x v="1"/>
    <x v="23"/>
    <x v="0"/>
    <n v="816.32"/>
    <x v="3"/>
  </r>
  <r>
    <x v="62"/>
    <x v="1"/>
    <x v="1"/>
    <x v="51"/>
    <x v="0"/>
    <n v="944.77"/>
    <x v="3"/>
  </r>
  <r>
    <x v="63"/>
    <x v="0"/>
    <x v="6"/>
    <x v="52"/>
    <x v="3"/>
    <n v="1155.73"/>
    <x v="1"/>
  </r>
  <r>
    <x v="64"/>
    <x v="1"/>
    <x v="0"/>
    <x v="53"/>
    <x v="1"/>
    <n v="1014.93"/>
    <x v="3"/>
  </r>
  <r>
    <x v="65"/>
    <x v="1"/>
    <x v="2"/>
    <x v="54"/>
    <x v="0"/>
    <n v="1186.5"/>
    <x v="4"/>
  </r>
  <r>
    <x v="66"/>
    <x v="0"/>
    <x v="5"/>
    <x v="55"/>
    <x v="0"/>
    <n v="887.69"/>
    <x v="2"/>
  </r>
  <r>
    <x v="67"/>
    <x v="1"/>
    <x v="6"/>
    <x v="56"/>
    <x v="0"/>
    <n v="1164.8599999999999"/>
    <x v="2"/>
  </r>
  <r>
    <x v="68"/>
    <x v="2"/>
    <x v="5"/>
    <x v="57"/>
    <x v="2"/>
    <n v="865.04"/>
    <x v="1"/>
  </r>
  <r>
    <x v="69"/>
    <x v="1"/>
    <x v="4"/>
    <x v="58"/>
    <x v="0"/>
    <n v="794.13"/>
    <x v="1"/>
  </r>
  <r>
    <x v="70"/>
    <x v="1"/>
    <x v="4"/>
    <x v="58"/>
    <x v="0"/>
    <n v="794.13"/>
    <x v="1"/>
  </r>
  <r>
    <x v="71"/>
    <x v="1"/>
    <x v="6"/>
    <x v="59"/>
    <x v="1"/>
    <s v="non_fee"/>
    <x v="1"/>
  </r>
  <r>
    <x v="72"/>
    <x v="0"/>
    <x v="2"/>
    <x v="60"/>
    <x v="0"/>
    <n v="1046.94"/>
    <x v="3"/>
  </r>
  <r>
    <x v="73"/>
    <x v="0"/>
    <x v="2"/>
    <x v="61"/>
    <x v="2"/>
    <n v="1111.25"/>
    <x v="3"/>
  </r>
  <r>
    <x v="74"/>
    <x v="0"/>
    <x v="3"/>
    <x v="62"/>
    <x v="2"/>
    <n v="833.87"/>
    <x v="1"/>
  </r>
  <r>
    <x v="75"/>
    <x v="1"/>
    <x v="2"/>
    <x v="63"/>
    <x v="1"/>
    <n v="1244.6400000000001"/>
    <x v="3"/>
  </r>
  <r>
    <x v="76"/>
    <x v="1"/>
    <x v="0"/>
    <x v="64"/>
    <x v="0"/>
    <n v="1080.26"/>
    <x v="1"/>
  </r>
  <r>
    <x v="77"/>
    <x v="0"/>
    <x v="4"/>
    <x v="65"/>
    <x v="0"/>
    <n v="866.01"/>
    <x v="1"/>
  </r>
  <r>
    <x v="78"/>
    <x v="1"/>
    <x v="0"/>
    <x v="66"/>
    <x v="2"/>
    <n v="1083.3599999999999"/>
    <x v="1"/>
  </r>
  <r>
    <x v="79"/>
    <x v="0"/>
    <x v="0"/>
    <x v="67"/>
    <x v="2"/>
    <n v="1083.1500000000001"/>
    <x v="1"/>
  </r>
  <r>
    <x v="80"/>
    <x v="0"/>
    <x v="2"/>
    <x v="27"/>
    <x v="0"/>
    <n v="1259.54"/>
    <x v="4"/>
  </r>
  <r>
    <x v="81"/>
    <x v="1"/>
    <x v="6"/>
    <x v="68"/>
    <x v="0"/>
    <n v="1145.76"/>
    <x v="1"/>
  </r>
  <r>
    <x v="82"/>
    <x v="0"/>
    <x v="4"/>
    <x v="69"/>
    <x v="0"/>
    <n v="804.04"/>
    <x v="1"/>
  </r>
  <r>
    <x v="83"/>
    <x v="0"/>
    <x v="2"/>
    <x v="70"/>
    <x v="3"/>
    <n v="1146.3399999999999"/>
    <x v="1"/>
  </r>
  <r>
    <x v="84"/>
    <x v="1"/>
    <x v="2"/>
    <x v="71"/>
    <x v="2"/>
    <n v="1197.4000000000001"/>
    <x v="1"/>
  </r>
  <r>
    <x v="85"/>
    <x v="1"/>
    <x v="2"/>
    <x v="6"/>
    <x v="2"/>
    <n v="1098.3800000000001"/>
    <x v="1"/>
  </r>
  <r>
    <x v="86"/>
    <x v="0"/>
    <x v="5"/>
    <x v="72"/>
    <x v="1"/>
    <n v="720.2"/>
    <x v="0"/>
  </r>
  <r>
    <x v="87"/>
    <x v="1"/>
    <x v="6"/>
    <x v="71"/>
    <x v="0"/>
    <n v="1156.29"/>
    <x v="4"/>
  </r>
  <r>
    <x v="88"/>
    <x v="0"/>
    <x v="6"/>
    <x v="73"/>
    <x v="0"/>
    <n v="1138.77"/>
    <x v="1"/>
  </r>
  <r>
    <x v="89"/>
    <x v="0"/>
    <x v="6"/>
    <x v="74"/>
    <x v="1"/>
    <n v="1358.18"/>
    <x v="0"/>
  </r>
  <r>
    <x v="90"/>
    <x v="1"/>
    <x v="2"/>
    <x v="75"/>
    <x v="0"/>
    <n v="1103.72"/>
    <x v="4"/>
  </r>
  <r>
    <x v="91"/>
    <x v="0"/>
    <x v="1"/>
    <x v="76"/>
    <x v="0"/>
    <n v="968.97"/>
    <x v="1"/>
  </r>
  <r>
    <x v="92"/>
    <x v="0"/>
    <x v="6"/>
    <x v="77"/>
    <x v="0"/>
    <n v="1352.42"/>
    <x v="4"/>
  </r>
  <r>
    <x v="93"/>
    <x v="1"/>
    <x v="0"/>
    <x v="78"/>
    <x v="1"/>
    <n v="1014.23"/>
    <x v="1"/>
  </r>
  <r>
    <x v="94"/>
    <x v="0"/>
    <x v="0"/>
    <x v="52"/>
    <x v="1"/>
    <n v="997.33"/>
    <x v="1"/>
  </r>
  <r>
    <x v="95"/>
    <x v="1"/>
    <x v="2"/>
    <x v="79"/>
    <x v="2"/>
    <n v="990.07"/>
    <x v="0"/>
  </r>
  <r>
    <x v="96"/>
    <x v="0"/>
    <x v="5"/>
    <x v="80"/>
    <x v="1"/>
    <n v="898.83"/>
    <x v="1"/>
  </r>
  <r>
    <x v="97"/>
    <x v="0"/>
    <x v="4"/>
    <x v="55"/>
    <x v="0"/>
    <n v="851.3"/>
    <x v="1"/>
  </r>
  <r>
    <x v="98"/>
    <x v="1"/>
    <x v="5"/>
    <x v="38"/>
    <x v="0"/>
    <n v="877.02"/>
    <x v="3"/>
  </r>
  <r>
    <x v="99"/>
    <x v="0"/>
    <x v="1"/>
    <x v="81"/>
    <x v="1"/>
    <n v="858.41"/>
    <x v="1"/>
  </r>
  <r>
    <x v="100"/>
    <x v="1"/>
    <x v="0"/>
    <x v="82"/>
    <x v="2"/>
    <n v="926.63"/>
    <x v="3"/>
  </r>
  <r>
    <x v="101"/>
    <x v="1"/>
    <x v="6"/>
    <x v="83"/>
    <x v="0"/>
    <n v="1222.31"/>
    <x v="1"/>
  </r>
  <r>
    <x v="102"/>
    <x v="1"/>
    <x v="2"/>
    <x v="84"/>
    <x v="0"/>
    <n v="1173.08"/>
    <x v="4"/>
  </r>
  <r>
    <x v="103"/>
    <x v="0"/>
    <x v="2"/>
    <x v="21"/>
    <x v="1"/>
    <n v="1105.23"/>
    <x v="3"/>
  </r>
  <r>
    <x v="104"/>
    <x v="0"/>
    <x v="4"/>
    <x v="67"/>
    <x v="0"/>
    <n v="866.46"/>
    <x v="1"/>
  </r>
  <r>
    <x v="105"/>
    <x v="0"/>
    <x v="1"/>
    <x v="85"/>
    <x v="1"/>
    <n v="857.18"/>
    <x v="3"/>
  </r>
  <r>
    <x v="106"/>
    <x v="1"/>
    <x v="1"/>
    <x v="86"/>
    <x v="0"/>
    <n v="815.31"/>
    <x v="1"/>
  </r>
  <r>
    <x v="107"/>
    <x v="1"/>
    <x v="4"/>
    <x v="87"/>
    <x v="0"/>
    <n v="832.04"/>
    <x v="1"/>
  </r>
  <r>
    <x v="108"/>
    <x v="1"/>
    <x v="2"/>
    <x v="88"/>
    <x v="0"/>
    <n v="1235.1199999999999"/>
    <x v="1"/>
  </r>
  <r>
    <x v="109"/>
    <x v="0"/>
    <x v="0"/>
    <x v="89"/>
    <x v="1"/>
    <n v="969.17"/>
    <x v="3"/>
  </r>
  <r>
    <x v="110"/>
    <x v="2"/>
    <x v="2"/>
    <x v="90"/>
    <x v="0"/>
    <n v="1021.44"/>
    <x v="1"/>
  </r>
  <r>
    <x v="111"/>
    <x v="0"/>
    <x v="1"/>
    <x v="80"/>
    <x v="2"/>
    <n v="954.23"/>
    <x v="1"/>
  </r>
  <r>
    <x v="112"/>
    <x v="1"/>
    <x v="0"/>
    <x v="91"/>
    <x v="1"/>
    <n v="998.74"/>
    <x v="1"/>
  </r>
  <r>
    <x v="113"/>
    <x v="0"/>
    <x v="6"/>
    <x v="92"/>
    <x v="1"/>
    <n v="1246.8399999999999"/>
    <x v="4"/>
  </r>
  <r>
    <x v="114"/>
    <x v="0"/>
    <x v="0"/>
    <x v="93"/>
    <x v="0"/>
    <n v="984.71"/>
    <x v="1"/>
  </r>
  <r>
    <x v="115"/>
    <x v="1"/>
    <x v="0"/>
    <x v="94"/>
    <x v="3"/>
    <n v="893.1"/>
    <x v="1"/>
  </r>
  <r>
    <x v="116"/>
    <x v="1"/>
    <x v="0"/>
    <x v="44"/>
    <x v="0"/>
    <n v="951.72"/>
    <x v="1"/>
  </r>
  <r>
    <x v="117"/>
    <x v="2"/>
    <x v="1"/>
    <x v="95"/>
    <x v="2"/>
    <n v="913.93"/>
    <x v="1"/>
  </r>
  <r>
    <x v="118"/>
    <x v="0"/>
    <x v="5"/>
    <x v="21"/>
    <x v="0"/>
    <n v="899.84"/>
    <x v="1"/>
  </r>
  <r>
    <x v="119"/>
    <x v="1"/>
    <x v="0"/>
    <x v="96"/>
    <x v="0"/>
    <n v="1043.3"/>
    <x v="1"/>
  </r>
  <r>
    <x v="120"/>
    <x v="0"/>
    <x v="4"/>
    <x v="21"/>
    <x v="1"/>
    <n v="717.16"/>
    <x v="1"/>
  </r>
  <r>
    <x v="121"/>
    <x v="1"/>
    <x v="0"/>
    <x v="97"/>
    <x v="0"/>
    <n v="1037.53"/>
    <x v="3"/>
  </r>
  <r>
    <x v="122"/>
    <x v="1"/>
    <x v="2"/>
    <x v="98"/>
    <x v="3"/>
    <n v="1260.08"/>
    <x v="2"/>
  </r>
  <r>
    <x v="123"/>
    <x v="0"/>
    <x v="5"/>
    <x v="99"/>
    <x v="2"/>
    <n v="808.9"/>
    <x v="1"/>
  </r>
  <r>
    <x v="124"/>
    <x v="1"/>
    <x v="2"/>
    <x v="62"/>
    <x v="0"/>
    <n v="1204.23"/>
    <x v="1"/>
  </r>
  <r>
    <x v="125"/>
    <x v="1"/>
    <x v="5"/>
    <x v="100"/>
    <x v="0"/>
    <n v="792.94"/>
    <x v="1"/>
  </r>
  <r>
    <x v="126"/>
    <x v="0"/>
    <x v="1"/>
    <x v="19"/>
    <x v="0"/>
    <n v="989.73"/>
    <x v="3"/>
  </r>
  <r>
    <x v="127"/>
    <x v="1"/>
    <x v="1"/>
    <x v="101"/>
    <x v="2"/>
    <n v="864.1"/>
    <x v="1"/>
  </r>
  <r>
    <x v="128"/>
    <x v="1"/>
    <x v="2"/>
    <x v="102"/>
    <x v="0"/>
    <n v="1143.52"/>
    <x v="1"/>
  </r>
  <r>
    <x v="129"/>
    <x v="0"/>
    <x v="1"/>
    <x v="103"/>
    <x v="0"/>
    <n v="1006.17"/>
    <x v="0"/>
  </r>
  <r>
    <x v="130"/>
    <x v="1"/>
    <x v="0"/>
    <x v="58"/>
    <x v="0"/>
    <s v="non_fee"/>
    <x v="2"/>
  </r>
  <r>
    <x v="131"/>
    <x v="1"/>
    <x v="5"/>
    <x v="104"/>
    <x v="2"/>
    <n v="760.13"/>
    <x v="1"/>
  </r>
  <r>
    <x v="132"/>
    <x v="1"/>
    <x v="0"/>
    <x v="105"/>
    <x v="0"/>
    <n v="958.74"/>
    <x v="1"/>
  </r>
  <r>
    <x v="133"/>
    <x v="0"/>
    <x v="2"/>
    <x v="106"/>
    <x v="0"/>
    <n v="1087.06"/>
    <x v="1"/>
  </r>
  <r>
    <x v="134"/>
    <x v="2"/>
    <x v="5"/>
    <x v="107"/>
    <x v="2"/>
    <n v="750.77"/>
    <x v="1"/>
  </r>
  <r>
    <x v="135"/>
    <x v="0"/>
    <x v="2"/>
    <x v="108"/>
    <x v="0"/>
    <n v="1101.9000000000001"/>
    <x v="3"/>
  </r>
  <r>
    <x v="136"/>
    <x v="1"/>
    <x v="0"/>
    <x v="59"/>
    <x v="1"/>
    <n v="901.17"/>
    <x v="0"/>
  </r>
  <r>
    <x v="137"/>
    <x v="0"/>
    <x v="0"/>
    <x v="109"/>
    <x v="0"/>
    <n v="954.48"/>
    <x v="1"/>
  </r>
  <r>
    <x v="138"/>
    <x v="1"/>
    <x v="0"/>
    <x v="110"/>
    <x v="3"/>
    <n v="938.05"/>
    <x v="1"/>
  </r>
  <r>
    <x v="139"/>
    <x v="0"/>
    <x v="0"/>
    <x v="111"/>
    <x v="0"/>
    <n v="951.34"/>
    <x v="3"/>
  </r>
  <r>
    <x v="140"/>
    <x v="0"/>
    <x v="2"/>
    <x v="112"/>
    <x v="1"/>
    <n v="1120.7"/>
    <x v="3"/>
  </r>
  <r>
    <x v="141"/>
    <x v="0"/>
    <x v="2"/>
    <x v="113"/>
    <x v="3"/>
    <n v="1137.3499999999999"/>
    <x v="3"/>
  </r>
  <r>
    <x v="142"/>
    <x v="1"/>
    <x v="1"/>
    <x v="114"/>
    <x v="2"/>
    <n v="910.16"/>
    <x v="1"/>
  </r>
  <r>
    <x v="143"/>
    <x v="2"/>
    <x v="5"/>
    <x v="75"/>
    <x v="0"/>
    <n v="769.49"/>
    <x v="1"/>
  </r>
  <r>
    <x v="144"/>
    <x v="1"/>
    <x v="0"/>
    <x v="102"/>
    <x v="0"/>
    <n v="962.27"/>
    <x v="0"/>
  </r>
  <r>
    <x v="145"/>
    <x v="0"/>
    <x v="5"/>
    <x v="1"/>
    <x v="1"/>
    <n v="737.5"/>
    <x v="0"/>
  </r>
  <r>
    <x v="146"/>
    <x v="0"/>
    <x v="0"/>
    <x v="115"/>
    <x v="0"/>
    <n v="997.61"/>
    <x v="3"/>
  </r>
  <r>
    <x v="147"/>
    <x v="0"/>
    <x v="1"/>
    <x v="70"/>
    <x v="0"/>
    <n v="970.52"/>
    <x v="1"/>
  </r>
  <r>
    <x v="148"/>
    <x v="0"/>
    <x v="5"/>
    <x v="116"/>
    <x v="0"/>
    <n v="881.14"/>
    <x v="1"/>
  </r>
  <r>
    <x v="149"/>
    <x v="1"/>
    <x v="4"/>
    <x v="78"/>
    <x v="0"/>
    <n v="803.55"/>
    <x v="1"/>
  </r>
  <r>
    <x v="150"/>
    <x v="1"/>
    <x v="5"/>
    <x v="108"/>
    <x v="1"/>
    <n v="830.91"/>
    <x v="3"/>
  </r>
  <r>
    <x v="151"/>
    <x v="0"/>
    <x v="2"/>
    <x v="117"/>
    <x v="0"/>
    <n v="1178.9000000000001"/>
    <x v="1"/>
  </r>
  <r>
    <x v="152"/>
    <x v="1"/>
    <x v="0"/>
    <x v="118"/>
    <x v="0"/>
    <n v="1073.8399999999999"/>
    <x v="1"/>
  </r>
  <r>
    <x v="153"/>
    <x v="0"/>
    <x v="3"/>
    <x v="12"/>
    <x v="0"/>
    <n v="981.21"/>
    <x v="1"/>
  </r>
  <r>
    <x v="154"/>
    <x v="0"/>
    <x v="3"/>
    <x v="119"/>
    <x v="2"/>
    <n v="1036.3800000000001"/>
    <x v="3"/>
  </r>
  <r>
    <x v="155"/>
    <x v="0"/>
    <x v="2"/>
    <x v="13"/>
    <x v="1"/>
    <n v="1068.25"/>
    <x v="1"/>
  </r>
  <r>
    <x v="156"/>
    <x v="1"/>
    <x v="6"/>
    <x v="38"/>
    <x v="3"/>
    <n v="1105.49"/>
    <x v="4"/>
  </r>
  <r>
    <x v="157"/>
    <x v="1"/>
    <x v="5"/>
    <x v="120"/>
    <x v="1"/>
    <s v="non_fee"/>
    <x v="1"/>
  </r>
  <r>
    <x v="158"/>
    <x v="0"/>
    <x v="3"/>
    <x v="121"/>
    <x v="3"/>
    <n v="738.48"/>
    <x v="1"/>
  </r>
  <r>
    <x v="159"/>
    <x v="0"/>
    <x v="1"/>
    <x v="21"/>
    <x v="0"/>
    <n v="817.84"/>
    <x v="2"/>
  </r>
  <r>
    <x v="160"/>
    <x v="1"/>
    <x v="2"/>
    <x v="122"/>
    <x v="0"/>
    <n v="1071.8800000000001"/>
    <x v="4"/>
  </r>
  <r>
    <x v="161"/>
    <x v="0"/>
    <x v="0"/>
    <x v="123"/>
    <x v="2"/>
    <n v="1021.08"/>
    <x v="2"/>
  </r>
  <r>
    <x v="162"/>
    <x v="1"/>
    <x v="5"/>
    <x v="124"/>
    <x v="1"/>
    <n v="761.3"/>
    <x v="2"/>
  </r>
  <r>
    <x v="163"/>
    <x v="1"/>
    <x v="2"/>
    <x v="125"/>
    <x v="0"/>
    <n v="1020.21"/>
    <x v="1"/>
  </r>
  <r>
    <x v="164"/>
    <x v="0"/>
    <x v="1"/>
    <x v="126"/>
    <x v="1"/>
    <n v="886.5"/>
    <x v="1"/>
  </r>
  <r>
    <x v="165"/>
    <x v="1"/>
    <x v="2"/>
    <x v="68"/>
    <x v="2"/>
    <n v="1019.28"/>
    <x v="1"/>
  </r>
  <r>
    <x v="166"/>
    <x v="0"/>
    <x v="0"/>
    <x v="21"/>
    <x v="0"/>
    <n v="1057.9100000000001"/>
    <x v="1"/>
  </r>
  <r>
    <x v="167"/>
    <x v="2"/>
    <x v="0"/>
    <x v="127"/>
    <x v="0"/>
    <n v="947.68"/>
    <x v="1"/>
  </r>
  <r>
    <x v="168"/>
    <x v="1"/>
    <x v="2"/>
    <x v="21"/>
    <x v="0"/>
    <n v="1146.98"/>
    <x v="4"/>
  </r>
  <r>
    <x v="169"/>
    <x v="1"/>
    <x v="5"/>
    <x v="128"/>
    <x v="0"/>
    <n v="805.2"/>
    <x v="1"/>
  </r>
  <r>
    <x v="170"/>
    <x v="1"/>
    <x v="6"/>
    <x v="12"/>
    <x v="0"/>
    <n v="1198.92"/>
    <x v="1"/>
  </r>
  <r>
    <x v="171"/>
    <x v="0"/>
    <x v="0"/>
    <x v="64"/>
    <x v="1"/>
    <s v="non_fee"/>
    <x v="3"/>
  </r>
  <r>
    <x v="172"/>
    <x v="1"/>
    <x v="4"/>
    <x v="129"/>
    <x v="2"/>
    <n v="734.56"/>
    <x v="2"/>
  </r>
  <r>
    <x v="173"/>
    <x v="0"/>
    <x v="5"/>
    <x v="130"/>
    <x v="3"/>
    <n v="729.7"/>
    <x v="1"/>
  </r>
  <r>
    <x v="174"/>
    <x v="0"/>
    <x v="5"/>
    <x v="131"/>
    <x v="1"/>
    <n v="823.71"/>
    <x v="4"/>
  </r>
  <r>
    <x v="175"/>
    <x v="1"/>
    <x v="0"/>
    <x v="65"/>
    <x v="0"/>
    <n v="1004.89"/>
    <x v="4"/>
  </r>
  <r>
    <x v="176"/>
    <x v="1"/>
    <x v="1"/>
    <x v="107"/>
    <x v="0"/>
    <n v="931.58"/>
    <x v="1"/>
  </r>
  <r>
    <x v="177"/>
    <x v="1"/>
    <x v="5"/>
    <x v="21"/>
    <x v="2"/>
    <n v="915.99"/>
    <x v="1"/>
  </r>
  <r>
    <x v="178"/>
    <x v="0"/>
    <x v="3"/>
    <x v="132"/>
    <x v="1"/>
    <n v="907.19"/>
    <x v="4"/>
  </r>
  <r>
    <x v="179"/>
    <x v="0"/>
    <x v="5"/>
    <x v="133"/>
    <x v="0"/>
    <n v="849.2"/>
    <x v="1"/>
  </r>
  <r>
    <x v="180"/>
    <x v="1"/>
    <x v="0"/>
    <x v="57"/>
    <x v="2"/>
    <n v="996.32"/>
    <x v="3"/>
  </r>
  <r>
    <x v="181"/>
    <x v="2"/>
    <x v="5"/>
    <x v="134"/>
    <x v="0"/>
    <n v="795"/>
    <x v="1"/>
  </r>
  <r>
    <x v="182"/>
    <x v="1"/>
    <x v="0"/>
    <x v="32"/>
    <x v="0"/>
    <n v="974.48"/>
    <x v="1"/>
  </r>
  <r>
    <x v="183"/>
    <x v="1"/>
    <x v="5"/>
    <x v="135"/>
    <x v="1"/>
    <n v="730.94"/>
    <x v="4"/>
  </r>
  <r>
    <x v="184"/>
    <x v="1"/>
    <x v="5"/>
    <x v="136"/>
    <x v="0"/>
    <n v="751.55"/>
    <x v="1"/>
  </r>
  <r>
    <x v="185"/>
    <x v="0"/>
    <x v="4"/>
    <x v="137"/>
    <x v="1"/>
    <n v="758.22"/>
    <x v="4"/>
  </r>
  <r>
    <x v="186"/>
    <x v="1"/>
    <x v="0"/>
    <x v="138"/>
    <x v="0"/>
    <n v="981.23"/>
    <x v="1"/>
  </r>
  <r>
    <x v="187"/>
    <x v="0"/>
    <x v="2"/>
    <x v="139"/>
    <x v="1"/>
    <n v="1206.44"/>
    <x v="1"/>
  </r>
  <r>
    <x v="188"/>
    <x v="2"/>
    <x v="1"/>
    <x v="140"/>
    <x v="0"/>
    <n v="1027.6300000000001"/>
    <x v="3"/>
  </r>
  <r>
    <x v="189"/>
    <x v="0"/>
    <x v="5"/>
    <x v="141"/>
    <x v="2"/>
    <n v="914.71"/>
    <x v="3"/>
  </r>
  <r>
    <x v="190"/>
    <x v="0"/>
    <x v="0"/>
    <x v="126"/>
    <x v="0"/>
    <n v="887.16"/>
    <x v="1"/>
  </r>
  <r>
    <x v="191"/>
    <x v="0"/>
    <x v="2"/>
    <x v="142"/>
    <x v="0"/>
    <n v="1149.3"/>
    <x v="1"/>
  </r>
  <r>
    <x v="192"/>
    <x v="0"/>
    <x v="2"/>
    <x v="142"/>
    <x v="0"/>
    <n v="1149.3"/>
    <x v="1"/>
  </r>
  <r>
    <x v="193"/>
    <x v="0"/>
    <x v="0"/>
    <x v="14"/>
    <x v="0"/>
    <n v="871.11"/>
    <x v="3"/>
  </r>
  <r>
    <x v="194"/>
    <x v="1"/>
    <x v="3"/>
    <x v="143"/>
    <x v="2"/>
    <n v="874.56"/>
    <x v="1"/>
  </r>
  <r>
    <x v="195"/>
    <x v="1"/>
    <x v="0"/>
    <x v="144"/>
    <x v="0"/>
    <n v="1059.92"/>
    <x v="3"/>
  </r>
  <r>
    <x v="196"/>
    <x v="0"/>
    <x v="2"/>
    <x v="145"/>
    <x v="1"/>
    <n v="1044.45"/>
    <x v="0"/>
  </r>
  <r>
    <x v="197"/>
    <x v="1"/>
    <x v="6"/>
    <x v="146"/>
    <x v="0"/>
    <n v="1339.08"/>
    <x v="1"/>
  </r>
  <r>
    <x v="198"/>
    <x v="1"/>
    <x v="3"/>
    <x v="147"/>
    <x v="1"/>
    <n v="777.72"/>
    <x v="3"/>
  </r>
  <r>
    <x v="199"/>
    <x v="0"/>
    <x v="0"/>
    <x v="2"/>
    <x v="0"/>
    <n v="871.41"/>
    <x v="1"/>
  </r>
  <r>
    <x v="200"/>
    <x v="1"/>
    <x v="0"/>
    <x v="148"/>
    <x v="2"/>
    <n v="1018"/>
    <x v="1"/>
  </r>
  <r>
    <x v="201"/>
    <x v="0"/>
    <x v="4"/>
    <x v="134"/>
    <x v="2"/>
    <n v="761.42"/>
    <x v="1"/>
  </r>
  <r>
    <x v="202"/>
    <x v="0"/>
    <x v="0"/>
    <x v="149"/>
    <x v="0"/>
    <s v="non_fee"/>
    <x v="3"/>
  </r>
  <r>
    <x v="203"/>
    <x v="0"/>
    <x v="5"/>
    <x v="150"/>
    <x v="1"/>
    <n v="764.29"/>
    <x v="1"/>
  </r>
  <r>
    <x v="204"/>
    <x v="1"/>
    <x v="4"/>
    <x v="67"/>
    <x v="0"/>
    <n v="709.26"/>
    <x v="3"/>
  </r>
  <r>
    <x v="205"/>
    <x v="0"/>
    <x v="4"/>
    <x v="151"/>
    <x v="1"/>
    <n v="750.28"/>
    <x v="3"/>
  </r>
  <r>
    <x v="206"/>
    <x v="0"/>
    <x v="0"/>
    <x v="21"/>
    <x v="0"/>
    <n v="958"/>
    <x v="1"/>
  </r>
  <r>
    <x v="207"/>
    <x v="0"/>
    <x v="1"/>
    <x v="152"/>
    <x v="2"/>
    <n v="933.95"/>
    <x v="1"/>
  </r>
  <r>
    <x v="208"/>
    <x v="0"/>
    <x v="2"/>
    <x v="153"/>
    <x v="0"/>
    <n v="1197.51"/>
    <x v="3"/>
  </r>
  <r>
    <x v="209"/>
    <x v="1"/>
    <x v="1"/>
    <x v="154"/>
    <x v="0"/>
    <n v="919.12"/>
    <x v="1"/>
  </r>
  <r>
    <x v="210"/>
    <x v="1"/>
    <x v="3"/>
    <x v="35"/>
    <x v="1"/>
    <n v="964.89"/>
    <x v="1"/>
  </r>
  <r>
    <x v="211"/>
    <x v="0"/>
    <x v="0"/>
    <x v="155"/>
    <x v="1"/>
    <n v="920.54"/>
    <x v="1"/>
  </r>
  <r>
    <x v="212"/>
    <x v="0"/>
    <x v="6"/>
    <x v="156"/>
    <x v="0"/>
    <n v="1262.8800000000001"/>
    <x v="2"/>
  </r>
  <r>
    <x v="213"/>
    <x v="1"/>
    <x v="6"/>
    <x v="39"/>
    <x v="1"/>
    <n v="1178.08"/>
    <x v="1"/>
  </r>
  <r>
    <x v="214"/>
    <x v="1"/>
    <x v="0"/>
    <x v="157"/>
    <x v="2"/>
    <n v="961.52"/>
    <x v="1"/>
  </r>
  <r>
    <x v="215"/>
    <x v="0"/>
    <x v="2"/>
    <x v="158"/>
    <x v="2"/>
    <n v="1039.18"/>
    <x v="1"/>
  </r>
  <r>
    <x v="216"/>
    <x v="1"/>
    <x v="6"/>
    <x v="159"/>
    <x v="3"/>
    <n v="1357.89"/>
    <x v="3"/>
  </r>
  <r>
    <x v="217"/>
    <x v="0"/>
    <x v="6"/>
    <x v="160"/>
    <x v="0"/>
    <n v="1098.67"/>
    <x v="1"/>
  </r>
  <r>
    <x v="218"/>
    <x v="0"/>
    <x v="2"/>
    <x v="161"/>
    <x v="0"/>
    <n v="1069.75"/>
    <x v="1"/>
  </r>
  <r>
    <x v="219"/>
    <x v="2"/>
    <x v="2"/>
    <x v="162"/>
    <x v="2"/>
    <n v="1228.17"/>
    <x v="1"/>
  </r>
  <r>
    <x v="220"/>
    <x v="1"/>
    <x v="5"/>
    <x v="163"/>
    <x v="2"/>
    <n v="905.56"/>
    <x v="4"/>
  </r>
  <r>
    <x v="221"/>
    <x v="1"/>
    <x v="0"/>
    <x v="140"/>
    <x v="2"/>
    <n v="929.94"/>
    <x v="1"/>
  </r>
  <r>
    <x v="222"/>
    <x v="1"/>
    <x v="0"/>
    <x v="164"/>
    <x v="0"/>
    <n v="1088.1400000000001"/>
    <x v="1"/>
  </r>
  <r>
    <x v="223"/>
    <x v="1"/>
    <x v="5"/>
    <x v="99"/>
    <x v="3"/>
    <n v="767.19"/>
    <x v="3"/>
  </r>
  <r>
    <x v="224"/>
    <x v="0"/>
    <x v="2"/>
    <x v="165"/>
    <x v="0"/>
    <n v="1022.73"/>
    <x v="2"/>
  </r>
  <r>
    <x v="225"/>
    <x v="0"/>
    <x v="0"/>
    <x v="166"/>
    <x v="1"/>
    <s v="non_fee"/>
    <x v="4"/>
  </r>
  <r>
    <x v="226"/>
    <x v="1"/>
    <x v="0"/>
    <x v="21"/>
    <x v="2"/>
    <n v="900.21"/>
    <x v="3"/>
  </r>
  <r>
    <x v="227"/>
    <x v="2"/>
    <x v="5"/>
    <x v="167"/>
    <x v="2"/>
    <n v="799.37"/>
    <x v="1"/>
  </r>
  <r>
    <x v="228"/>
    <x v="0"/>
    <x v="2"/>
    <x v="116"/>
    <x v="0"/>
    <n v="1089.42"/>
    <x v="3"/>
  </r>
  <r>
    <x v="229"/>
    <x v="0"/>
    <x v="5"/>
    <x v="168"/>
    <x v="0"/>
    <s v="non_fee"/>
    <x v="4"/>
  </r>
  <r>
    <x v="230"/>
    <x v="0"/>
    <x v="5"/>
    <x v="169"/>
    <x v="1"/>
    <n v="801.43"/>
    <x v="1"/>
  </r>
  <r>
    <x v="231"/>
    <x v="0"/>
    <x v="1"/>
    <x v="170"/>
    <x v="0"/>
    <n v="946.69"/>
    <x v="1"/>
  </r>
  <r>
    <x v="232"/>
    <x v="1"/>
    <x v="6"/>
    <x v="171"/>
    <x v="0"/>
    <s v="non_fee"/>
    <x v="1"/>
  </r>
  <r>
    <x v="233"/>
    <x v="1"/>
    <x v="5"/>
    <x v="172"/>
    <x v="3"/>
    <n v="823.61"/>
    <x v="3"/>
  </r>
  <r>
    <x v="234"/>
    <x v="1"/>
    <x v="4"/>
    <x v="173"/>
    <x v="0"/>
    <n v="885.07"/>
    <x v="1"/>
  </r>
  <r>
    <x v="235"/>
    <x v="2"/>
    <x v="2"/>
    <x v="174"/>
    <x v="3"/>
    <n v="1126.1199999999999"/>
    <x v="1"/>
  </r>
  <r>
    <x v="236"/>
    <x v="1"/>
    <x v="5"/>
    <x v="114"/>
    <x v="2"/>
    <n v="835.71"/>
    <x v="0"/>
  </r>
  <r>
    <x v="237"/>
    <x v="0"/>
    <x v="2"/>
    <x v="175"/>
    <x v="2"/>
    <n v="1257.3800000000001"/>
    <x v="1"/>
  </r>
  <r>
    <x v="238"/>
    <x v="1"/>
    <x v="0"/>
    <x v="112"/>
    <x v="1"/>
    <n v="1014.19"/>
    <x v="1"/>
  </r>
  <r>
    <x v="239"/>
    <x v="2"/>
    <x v="6"/>
    <x v="176"/>
    <x v="0"/>
    <n v="1339.88"/>
    <x v="3"/>
  </r>
  <r>
    <x v="240"/>
    <x v="1"/>
    <x v="5"/>
    <x v="177"/>
    <x v="0"/>
    <n v="875.13"/>
    <x v="1"/>
  </r>
  <r>
    <x v="241"/>
    <x v="0"/>
    <x v="3"/>
    <x v="178"/>
    <x v="0"/>
    <n v="1180.3"/>
    <x v="1"/>
  </r>
  <r>
    <x v="242"/>
    <x v="1"/>
    <x v="4"/>
    <x v="179"/>
    <x v="0"/>
    <n v="816.86"/>
    <x v="1"/>
  </r>
  <r>
    <x v="243"/>
    <x v="1"/>
    <x v="0"/>
    <x v="180"/>
    <x v="0"/>
    <n v="988.35"/>
    <x v="1"/>
  </r>
  <r>
    <x v="244"/>
    <x v="1"/>
    <x v="2"/>
    <x v="41"/>
    <x v="1"/>
    <s v="non_fee"/>
    <x v="1"/>
  </r>
  <r>
    <x v="245"/>
    <x v="1"/>
    <x v="6"/>
    <x v="181"/>
    <x v="0"/>
    <n v="1155.3800000000001"/>
    <x v="1"/>
  </r>
  <r>
    <x v="246"/>
    <x v="1"/>
    <x v="3"/>
    <x v="42"/>
    <x v="0"/>
    <n v="974.04"/>
    <x v="1"/>
  </r>
  <r>
    <x v="247"/>
    <x v="0"/>
    <x v="6"/>
    <x v="182"/>
    <x v="0"/>
    <n v="1374.35"/>
    <x v="0"/>
  </r>
  <r>
    <x v="248"/>
    <x v="1"/>
    <x v="6"/>
    <x v="68"/>
    <x v="0"/>
    <n v="1332.91"/>
    <x v="1"/>
  </r>
  <r>
    <x v="249"/>
    <x v="1"/>
    <x v="6"/>
    <x v="68"/>
    <x v="0"/>
    <n v="1332.91"/>
    <x v="1"/>
  </r>
  <r>
    <x v="250"/>
    <x v="0"/>
    <x v="2"/>
    <x v="183"/>
    <x v="1"/>
    <n v="1185.1400000000001"/>
    <x v="3"/>
  </r>
  <r>
    <x v="251"/>
    <x v="1"/>
    <x v="3"/>
    <x v="184"/>
    <x v="0"/>
    <n v="1379.03"/>
    <x v="1"/>
  </r>
  <r>
    <x v="252"/>
    <x v="1"/>
    <x v="3"/>
    <x v="185"/>
    <x v="2"/>
    <n v="1274.06"/>
    <x v="1"/>
  </r>
  <r>
    <x v="253"/>
    <x v="0"/>
    <x v="5"/>
    <x v="186"/>
    <x v="0"/>
    <n v="774.58"/>
    <x v="2"/>
  </r>
  <r>
    <x v="254"/>
    <x v="1"/>
    <x v="0"/>
    <x v="187"/>
    <x v="2"/>
    <n v="971.14"/>
    <x v="4"/>
  </r>
  <r>
    <x v="255"/>
    <x v="1"/>
    <x v="2"/>
    <x v="21"/>
    <x v="0"/>
    <n v="1230.78"/>
    <x v="1"/>
  </r>
  <r>
    <x v="256"/>
    <x v="0"/>
    <x v="1"/>
    <x v="188"/>
    <x v="0"/>
    <n v="817.62"/>
    <x v="1"/>
  </r>
  <r>
    <x v="257"/>
    <x v="0"/>
    <x v="2"/>
    <x v="189"/>
    <x v="2"/>
    <n v="1064.78"/>
    <x v="0"/>
  </r>
  <r>
    <x v="258"/>
    <x v="1"/>
    <x v="3"/>
    <x v="190"/>
    <x v="0"/>
    <n v="720.97"/>
    <x v="1"/>
  </r>
  <r>
    <x v="259"/>
    <x v="1"/>
    <x v="6"/>
    <x v="191"/>
    <x v="1"/>
    <n v="1261"/>
    <x v="0"/>
  </r>
  <r>
    <x v="260"/>
    <x v="1"/>
    <x v="4"/>
    <x v="74"/>
    <x v="1"/>
    <s v="non_fee"/>
    <x v="1"/>
  </r>
  <r>
    <x v="261"/>
    <x v="1"/>
    <x v="6"/>
    <x v="192"/>
    <x v="3"/>
    <n v="1127.96"/>
    <x v="2"/>
  </r>
  <r>
    <x v="262"/>
    <x v="1"/>
    <x v="5"/>
    <x v="193"/>
    <x v="2"/>
    <n v="860.03"/>
    <x v="1"/>
  </r>
  <r>
    <x v="263"/>
    <x v="1"/>
    <x v="2"/>
    <x v="7"/>
    <x v="0"/>
    <n v="1218.96"/>
    <x v="3"/>
  </r>
  <r>
    <x v="264"/>
    <x v="1"/>
    <x v="0"/>
    <x v="194"/>
    <x v="2"/>
    <n v="900.67"/>
    <x v="1"/>
  </r>
  <r>
    <x v="265"/>
    <x v="0"/>
    <x v="0"/>
    <x v="159"/>
    <x v="0"/>
    <n v="872.09"/>
    <x v="4"/>
  </r>
  <r>
    <x v="266"/>
    <x v="1"/>
    <x v="6"/>
    <x v="21"/>
    <x v="1"/>
    <n v="1211.08"/>
    <x v="3"/>
  </r>
  <r>
    <x v="267"/>
    <x v="0"/>
    <x v="4"/>
    <x v="151"/>
    <x v="0"/>
    <n v="857.26"/>
    <x v="1"/>
  </r>
  <r>
    <x v="268"/>
    <x v="0"/>
    <x v="2"/>
    <x v="195"/>
    <x v="0"/>
    <n v="1197.05"/>
    <x v="2"/>
  </r>
  <r>
    <x v="269"/>
    <x v="1"/>
    <x v="0"/>
    <x v="21"/>
    <x v="0"/>
    <n v="1056.72"/>
    <x v="3"/>
  </r>
  <r>
    <x v="270"/>
    <x v="1"/>
    <x v="0"/>
    <x v="196"/>
    <x v="0"/>
    <n v="998.42"/>
    <x v="3"/>
  </r>
  <r>
    <x v="271"/>
    <x v="1"/>
    <x v="0"/>
    <x v="196"/>
    <x v="0"/>
    <n v="998.42"/>
    <x v="3"/>
  </r>
  <r>
    <x v="272"/>
    <x v="0"/>
    <x v="6"/>
    <x v="197"/>
    <x v="2"/>
    <n v="1164.6500000000001"/>
    <x v="1"/>
  </r>
  <r>
    <x v="273"/>
    <x v="0"/>
    <x v="1"/>
    <x v="198"/>
    <x v="1"/>
    <n v="978.96"/>
    <x v="3"/>
  </r>
  <r>
    <x v="274"/>
    <x v="0"/>
    <x v="1"/>
    <x v="198"/>
    <x v="3"/>
    <n v="978.96"/>
    <x v="3"/>
  </r>
  <r>
    <x v="275"/>
    <x v="0"/>
    <x v="5"/>
    <x v="199"/>
    <x v="0"/>
    <n v="772.18"/>
    <x v="1"/>
  </r>
  <r>
    <x v="276"/>
    <x v="0"/>
    <x v="0"/>
    <x v="200"/>
    <x v="0"/>
    <n v="938.18"/>
    <x v="1"/>
  </r>
  <r>
    <x v="277"/>
    <x v="0"/>
    <x v="1"/>
    <x v="201"/>
    <x v="2"/>
    <n v="946.4"/>
    <x v="3"/>
  </r>
  <r>
    <x v="278"/>
    <x v="0"/>
    <x v="0"/>
    <x v="202"/>
    <x v="0"/>
    <n v="1065.77"/>
    <x v="1"/>
  </r>
  <r>
    <x v="279"/>
    <x v="0"/>
    <x v="3"/>
    <x v="120"/>
    <x v="0"/>
    <n v="936.29"/>
    <x v="0"/>
  </r>
  <r>
    <x v="280"/>
    <x v="2"/>
    <x v="0"/>
    <x v="203"/>
    <x v="1"/>
    <n v="893.95"/>
    <x v="1"/>
  </r>
  <r>
    <x v="281"/>
    <x v="1"/>
    <x v="1"/>
    <x v="204"/>
    <x v="0"/>
    <n v="1004.33"/>
    <x v="3"/>
  </r>
  <r>
    <x v="282"/>
    <x v="1"/>
    <x v="0"/>
    <x v="205"/>
    <x v="0"/>
    <n v="878.75"/>
    <x v="1"/>
  </r>
  <r>
    <x v="283"/>
    <x v="1"/>
    <x v="6"/>
    <x v="135"/>
    <x v="1"/>
    <n v="1136.0899999999999"/>
    <x v="1"/>
  </r>
  <r>
    <x v="284"/>
    <x v="0"/>
    <x v="1"/>
    <x v="206"/>
    <x v="2"/>
    <n v="810.27"/>
    <x v="1"/>
  </r>
  <r>
    <x v="285"/>
    <x v="1"/>
    <x v="4"/>
    <x v="144"/>
    <x v="0"/>
    <n v="753.5"/>
    <x v="1"/>
  </r>
  <r>
    <x v="286"/>
    <x v="1"/>
    <x v="4"/>
    <x v="207"/>
    <x v="2"/>
    <n v="830.35"/>
    <x v="1"/>
  </r>
  <r>
    <x v="287"/>
    <x v="1"/>
    <x v="6"/>
    <x v="208"/>
    <x v="1"/>
    <n v="1233.48"/>
    <x v="1"/>
  </r>
  <r>
    <x v="288"/>
    <x v="0"/>
    <x v="4"/>
    <x v="209"/>
    <x v="0"/>
    <n v="820.49"/>
    <x v="4"/>
  </r>
  <r>
    <x v="289"/>
    <x v="1"/>
    <x v="0"/>
    <x v="210"/>
    <x v="0"/>
    <n v="1005.5"/>
    <x v="3"/>
  </r>
  <r>
    <x v="290"/>
    <x v="1"/>
    <x v="6"/>
    <x v="157"/>
    <x v="0"/>
    <n v="1317.6"/>
    <x v="1"/>
  </r>
  <r>
    <x v="291"/>
    <x v="1"/>
    <x v="5"/>
    <x v="211"/>
    <x v="0"/>
    <n v="760.42"/>
    <x v="1"/>
  </r>
  <r>
    <x v="292"/>
    <x v="0"/>
    <x v="6"/>
    <x v="212"/>
    <x v="2"/>
    <n v="1219.68"/>
    <x v="3"/>
  </r>
  <r>
    <x v="293"/>
    <x v="0"/>
    <x v="2"/>
    <x v="213"/>
    <x v="0"/>
    <n v="1165.03"/>
    <x v="3"/>
  </r>
  <r>
    <x v="294"/>
    <x v="0"/>
    <x v="2"/>
    <x v="214"/>
    <x v="1"/>
    <n v="1005.74"/>
    <x v="1"/>
  </r>
  <r>
    <x v="295"/>
    <x v="0"/>
    <x v="0"/>
    <x v="215"/>
    <x v="0"/>
    <n v="1067.4100000000001"/>
    <x v="1"/>
  </r>
  <r>
    <x v="296"/>
    <x v="1"/>
    <x v="2"/>
    <x v="192"/>
    <x v="2"/>
    <n v="1068.0999999999999"/>
    <x v="1"/>
  </r>
  <r>
    <x v="297"/>
    <x v="0"/>
    <x v="2"/>
    <x v="8"/>
    <x v="1"/>
    <n v="1057.04"/>
    <x v="1"/>
  </r>
  <r>
    <x v="298"/>
    <x v="1"/>
    <x v="4"/>
    <x v="216"/>
    <x v="1"/>
    <n v="753.39"/>
    <x v="1"/>
  </r>
  <r>
    <x v="299"/>
    <x v="1"/>
    <x v="5"/>
    <x v="217"/>
    <x v="1"/>
    <n v="901.18"/>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x v="0"/>
    <x v="0"/>
    <x v="0"/>
    <x v="0"/>
    <x v="0"/>
  </r>
  <r>
    <x v="1"/>
    <x v="1"/>
    <x v="1"/>
    <x v="1"/>
    <x v="1"/>
    <x v="1"/>
    <x v="0"/>
  </r>
  <r>
    <x v="2"/>
    <x v="0"/>
    <x v="2"/>
    <x v="2"/>
    <x v="0"/>
    <x v="2"/>
    <x v="0"/>
  </r>
  <r>
    <x v="3"/>
    <x v="0"/>
    <x v="2"/>
    <x v="3"/>
    <x v="1"/>
    <x v="3"/>
    <x v="0"/>
  </r>
  <r>
    <x v="4"/>
    <x v="0"/>
    <x v="1"/>
    <x v="4"/>
    <x v="0"/>
    <x v="4"/>
    <x v="0"/>
  </r>
  <r>
    <x v="5"/>
    <x v="0"/>
    <x v="2"/>
    <x v="5"/>
    <x v="2"/>
    <x v="5"/>
    <x v="0"/>
  </r>
  <r>
    <x v="6"/>
    <x v="1"/>
    <x v="2"/>
    <x v="6"/>
    <x v="0"/>
    <x v="6"/>
    <x v="0"/>
  </r>
  <r>
    <x v="7"/>
    <x v="1"/>
    <x v="2"/>
    <x v="7"/>
    <x v="1"/>
    <x v="7"/>
    <x v="0"/>
  </r>
  <r>
    <x v="8"/>
    <x v="1"/>
    <x v="0"/>
    <x v="8"/>
    <x v="0"/>
    <x v="8"/>
    <x v="0"/>
  </r>
  <r>
    <x v="9"/>
    <x v="1"/>
    <x v="0"/>
    <x v="9"/>
    <x v="1"/>
    <x v="9"/>
    <x v="0"/>
  </r>
  <r>
    <x v="10"/>
    <x v="1"/>
    <x v="2"/>
    <x v="10"/>
    <x v="2"/>
    <x v="10"/>
    <x v="0"/>
  </r>
  <r>
    <x v="11"/>
    <x v="1"/>
    <x v="2"/>
    <x v="11"/>
    <x v="1"/>
    <x v="11"/>
    <x v="0"/>
  </r>
  <r>
    <x v="12"/>
    <x v="0"/>
    <x v="0"/>
    <x v="12"/>
    <x v="2"/>
    <x v="12"/>
    <x v="0"/>
  </r>
  <r>
    <x v="13"/>
    <x v="0"/>
    <x v="2"/>
    <x v="13"/>
    <x v="0"/>
    <x v="13"/>
    <x v="0"/>
  </r>
  <r>
    <x v="14"/>
    <x v="1"/>
    <x v="2"/>
    <x v="14"/>
    <x v="1"/>
    <x v="14"/>
    <x v="0"/>
  </r>
  <r>
    <x v="15"/>
    <x v="0"/>
    <x v="2"/>
    <x v="15"/>
    <x v="1"/>
    <x v="15"/>
    <x v="0"/>
  </r>
  <r>
    <x v="16"/>
    <x v="1"/>
    <x v="2"/>
    <x v="16"/>
    <x v="1"/>
    <x v="16"/>
    <x v="0"/>
  </r>
  <r>
    <x v="17"/>
    <x v="1"/>
    <x v="2"/>
    <x v="17"/>
    <x v="1"/>
    <x v="17"/>
    <x v="0"/>
  </r>
  <r>
    <x v="18"/>
    <x v="1"/>
    <x v="0"/>
    <x v="18"/>
    <x v="1"/>
    <x v="18"/>
    <x v="0"/>
  </r>
  <r>
    <x v="19"/>
    <x v="1"/>
    <x v="0"/>
    <x v="18"/>
    <x v="1"/>
    <x v="18"/>
    <x v="0"/>
  </r>
  <r>
    <x v="20"/>
    <x v="1"/>
    <x v="2"/>
    <x v="12"/>
    <x v="1"/>
    <x v="19"/>
    <x v="0"/>
  </r>
  <r>
    <x v="21"/>
    <x v="0"/>
    <x v="2"/>
    <x v="19"/>
    <x v="2"/>
    <x v="20"/>
    <x v="0"/>
  </r>
  <r>
    <x v="22"/>
    <x v="0"/>
    <x v="2"/>
    <x v="20"/>
    <x v="0"/>
    <x v="21"/>
    <x v="0"/>
  </r>
  <r>
    <x v="23"/>
    <x v="1"/>
    <x v="0"/>
    <x v="21"/>
    <x v="1"/>
    <x v="22"/>
    <x v="0"/>
  </r>
  <r>
    <x v="24"/>
    <x v="0"/>
    <x v="0"/>
    <x v="22"/>
    <x v="1"/>
    <x v="23"/>
    <x v="0"/>
  </r>
  <r>
    <x v="25"/>
    <x v="1"/>
    <x v="2"/>
    <x v="23"/>
    <x v="1"/>
    <x v="24"/>
    <x v="0"/>
  </r>
  <r>
    <x v="26"/>
    <x v="1"/>
    <x v="2"/>
    <x v="24"/>
    <x v="0"/>
    <x v="25"/>
    <x v="0"/>
  </r>
  <r>
    <x v="27"/>
    <x v="0"/>
    <x v="2"/>
    <x v="25"/>
    <x v="2"/>
    <x v="26"/>
    <x v="0"/>
  </r>
  <r>
    <x v="28"/>
    <x v="0"/>
    <x v="3"/>
    <x v="26"/>
    <x v="2"/>
    <x v="27"/>
    <x v="0"/>
  </r>
  <r>
    <x v="29"/>
    <x v="1"/>
    <x v="3"/>
    <x v="27"/>
    <x v="1"/>
    <x v="28"/>
    <x v="0"/>
  </r>
  <r>
    <x v="30"/>
    <x v="1"/>
    <x v="0"/>
    <x v="28"/>
    <x v="1"/>
    <x v="29"/>
    <x v="0"/>
  </r>
  <r>
    <x v="31"/>
    <x v="1"/>
    <x v="0"/>
    <x v="29"/>
    <x v="0"/>
    <x v="29"/>
    <x v="0"/>
  </r>
  <r>
    <x v="32"/>
    <x v="0"/>
    <x v="3"/>
    <x v="30"/>
    <x v="1"/>
    <x v="30"/>
    <x v="0"/>
  </r>
  <r>
    <x v="33"/>
    <x v="1"/>
    <x v="0"/>
    <x v="31"/>
    <x v="2"/>
    <x v="31"/>
    <x v="0"/>
  </r>
  <r>
    <x v="34"/>
    <x v="1"/>
    <x v="2"/>
    <x v="32"/>
    <x v="0"/>
    <x v="32"/>
    <x v="0"/>
  </r>
  <r>
    <x v="35"/>
    <x v="1"/>
    <x v="0"/>
    <x v="33"/>
    <x v="1"/>
    <x v="33"/>
    <x v="0"/>
  </r>
  <r>
    <x v="36"/>
    <x v="0"/>
    <x v="3"/>
    <x v="34"/>
    <x v="2"/>
    <x v="34"/>
    <x v="0"/>
  </r>
  <r>
    <x v="37"/>
    <x v="1"/>
    <x v="2"/>
    <x v="35"/>
    <x v="2"/>
    <x v="35"/>
    <x v="0"/>
  </r>
  <r>
    <x v="38"/>
    <x v="1"/>
    <x v="2"/>
    <x v="36"/>
    <x v="2"/>
    <x v="36"/>
    <x v="0"/>
  </r>
  <r>
    <x v="39"/>
    <x v="0"/>
    <x v="2"/>
    <x v="37"/>
    <x v="2"/>
    <x v="37"/>
    <x v="0"/>
  </r>
  <r>
    <x v="40"/>
    <x v="0"/>
    <x v="2"/>
    <x v="38"/>
    <x v="1"/>
    <x v="38"/>
    <x v="0"/>
  </r>
  <r>
    <x v="41"/>
    <x v="0"/>
    <x v="0"/>
    <x v="39"/>
    <x v="1"/>
    <x v="39"/>
    <x v="0"/>
  </r>
  <r>
    <x v="42"/>
    <x v="0"/>
    <x v="0"/>
    <x v="40"/>
    <x v="1"/>
    <x v="40"/>
    <x v="0"/>
  </r>
  <r>
    <x v="43"/>
    <x v="0"/>
    <x v="3"/>
    <x v="41"/>
    <x v="0"/>
    <x v="41"/>
    <x v="0"/>
  </r>
  <r>
    <x v="44"/>
    <x v="1"/>
    <x v="2"/>
    <x v="42"/>
    <x v="2"/>
    <x v="42"/>
    <x v="0"/>
  </r>
  <r>
    <x v="45"/>
    <x v="1"/>
    <x v="3"/>
    <x v="43"/>
    <x v="2"/>
    <x v="43"/>
    <x v="0"/>
  </r>
  <r>
    <x v="46"/>
    <x v="0"/>
    <x v="2"/>
    <x v="44"/>
    <x v="2"/>
    <x v="44"/>
    <x v="0"/>
  </r>
  <r>
    <x v="47"/>
    <x v="0"/>
    <x v="0"/>
    <x v="45"/>
    <x v="1"/>
    <x v="45"/>
    <x v="0"/>
  </r>
  <r>
    <x v="48"/>
    <x v="0"/>
    <x v="0"/>
    <x v="46"/>
    <x v="1"/>
    <x v="46"/>
    <x v="0"/>
  </r>
  <r>
    <x v="49"/>
    <x v="1"/>
    <x v="2"/>
    <x v="47"/>
    <x v="0"/>
    <x v="47"/>
    <x v="0"/>
  </r>
  <r>
    <x v="50"/>
    <x v="0"/>
    <x v="1"/>
    <x v="48"/>
    <x v="1"/>
    <x v="48"/>
    <x v="0"/>
  </r>
  <r>
    <x v="51"/>
    <x v="1"/>
    <x v="2"/>
    <x v="49"/>
    <x v="2"/>
    <x v="49"/>
    <x v="0"/>
  </r>
  <r>
    <x v="52"/>
    <x v="1"/>
    <x v="0"/>
    <x v="50"/>
    <x v="2"/>
    <x v="50"/>
    <x v="0"/>
  </r>
  <r>
    <x v="53"/>
    <x v="1"/>
    <x v="0"/>
    <x v="50"/>
    <x v="2"/>
    <x v="50"/>
    <x v="0"/>
  </r>
  <r>
    <x v="54"/>
    <x v="1"/>
    <x v="2"/>
    <x v="51"/>
    <x v="1"/>
    <x v="51"/>
    <x v="0"/>
  </r>
  <r>
    <x v="55"/>
    <x v="0"/>
    <x v="3"/>
    <x v="52"/>
    <x v="1"/>
    <x v="52"/>
    <x v="0"/>
  </r>
  <r>
    <x v="56"/>
    <x v="1"/>
    <x v="1"/>
    <x v="53"/>
    <x v="1"/>
    <x v="53"/>
    <x v="0"/>
  </r>
  <r>
    <x v="57"/>
    <x v="0"/>
    <x v="2"/>
    <x v="54"/>
    <x v="1"/>
    <x v="54"/>
    <x v="0"/>
  </r>
  <r>
    <x v="58"/>
    <x v="1"/>
    <x v="0"/>
    <x v="55"/>
    <x v="1"/>
    <x v="55"/>
    <x v="0"/>
  </r>
  <r>
    <x v="59"/>
    <x v="0"/>
    <x v="3"/>
    <x v="56"/>
    <x v="0"/>
    <x v="56"/>
    <x v="0"/>
  </r>
  <r>
    <x v="60"/>
    <x v="0"/>
    <x v="1"/>
    <x v="56"/>
    <x v="1"/>
    <x v="57"/>
    <x v="0"/>
  </r>
  <r>
    <x v="61"/>
    <x v="0"/>
    <x v="1"/>
    <x v="57"/>
    <x v="1"/>
    <x v="58"/>
    <x v="0"/>
  </r>
  <r>
    <x v="62"/>
    <x v="1"/>
    <x v="1"/>
    <x v="58"/>
    <x v="2"/>
    <x v="59"/>
    <x v="0"/>
  </r>
  <r>
    <x v="63"/>
    <x v="0"/>
    <x v="0"/>
    <x v="59"/>
    <x v="2"/>
    <x v="60"/>
    <x v="0"/>
  </r>
  <r>
    <x v="64"/>
    <x v="1"/>
    <x v="1"/>
    <x v="60"/>
    <x v="0"/>
    <x v="61"/>
    <x v="0"/>
  </r>
  <r>
    <x v="65"/>
    <x v="0"/>
    <x v="2"/>
    <x v="61"/>
    <x v="0"/>
    <x v="62"/>
    <x v="0"/>
  </r>
  <r>
    <x v="66"/>
    <x v="0"/>
    <x v="2"/>
    <x v="62"/>
    <x v="1"/>
    <x v="63"/>
    <x v="0"/>
  </r>
  <r>
    <x v="67"/>
    <x v="1"/>
    <x v="1"/>
    <x v="63"/>
    <x v="2"/>
    <x v="64"/>
    <x v="0"/>
  </r>
  <r>
    <x v="68"/>
    <x v="1"/>
    <x v="2"/>
    <x v="64"/>
    <x v="0"/>
    <x v="65"/>
    <x v="0"/>
  </r>
  <r>
    <x v="69"/>
    <x v="1"/>
    <x v="3"/>
    <x v="36"/>
    <x v="2"/>
    <x v="66"/>
    <x v="0"/>
  </r>
  <r>
    <x v="70"/>
    <x v="1"/>
    <x v="3"/>
    <x v="65"/>
    <x v="2"/>
    <x v="67"/>
    <x v="0"/>
  </r>
  <r>
    <x v="71"/>
    <x v="1"/>
    <x v="2"/>
    <x v="66"/>
    <x v="2"/>
    <x v="68"/>
    <x v="0"/>
  </r>
  <r>
    <x v="72"/>
    <x v="1"/>
    <x v="3"/>
    <x v="67"/>
    <x v="1"/>
    <x v="69"/>
    <x v="0"/>
  </r>
  <r>
    <x v="73"/>
    <x v="0"/>
    <x v="1"/>
    <x v="68"/>
    <x v="0"/>
    <x v="70"/>
    <x v="0"/>
  </r>
  <r>
    <x v="74"/>
    <x v="0"/>
    <x v="3"/>
    <x v="69"/>
    <x v="1"/>
    <x v="71"/>
    <x v="0"/>
  </r>
  <r>
    <x v="75"/>
    <x v="0"/>
    <x v="1"/>
    <x v="6"/>
    <x v="1"/>
    <x v="72"/>
    <x v="0"/>
  </r>
  <r>
    <x v="76"/>
    <x v="0"/>
    <x v="1"/>
    <x v="6"/>
    <x v="1"/>
    <x v="72"/>
    <x v="0"/>
  </r>
  <r>
    <x v="77"/>
    <x v="1"/>
    <x v="1"/>
    <x v="70"/>
    <x v="0"/>
    <x v="73"/>
    <x v="0"/>
  </r>
  <r>
    <x v="78"/>
    <x v="1"/>
    <x v="1"/>
    <x v="71"/>
    <x v="2"/>
    <x v="74"/>
    <x v="0"/>
  </r>
  <r>
    <x v="79"/>
    <x v="1"/>
    <x v="3"/>
    <x v="5"/>
    <x v="1"/>
    <x v="75"/>
    <x v="0"/>
  </r>
  <r>
    <x v="80"/>
    <x v="0"/>
    <x v="3"/>
    <x v="72"/>
    <x v="2"/>
    <x v="76"/>
    <x v="0"/>
  </r>
  <r>
    <x v="81"/>
    <x v="1"/>
    <x v="1"/>
    <x v="73"/>
    <x v="0"/>
    <x v="77"/>
    <x v="0"/>
  </r>
  <r>
    <x v="82"/>
    <x v="0"/>
    <x v="1"/>
    <x v="74"/>
    <x v="1"/>
    <x v="78"/>
    <x v="0"/>
  </r>
  <r>
    <x v="83"/>
    <x v="0"/>
    <x v="3"/>
    <x v="75"/>
    <x v="1"/>
    <x v="79"/>
    <x v="0"/>
  </r>
  <r>
    <x v="84"/>
    <x v="0"/>
    <x v="1"/>
    <x v="76"/>
    <x v="1"/>
    <x v="80"/>
    <x v="0"/>
  </r>
  <r>
    <x v="85"/>
    <x v="1"/>
    <x v="1"/>
    <x v="77"/>
    <x v="1"/>
    <x v="81"/>
    <x v="0"/>
  </r>
  <r>
    <x v="86"/>
    <x v="0"/>
    <x v="3"/>
    <x v="61"/>
    <x v="2"/>
    <x v="82"/>
    <x v="0"/>
  </r>
  <r>
    <x v="87"/>
    <x v="0"/>
    <x v="1"/>
    <x v="78"/>
    <x v="1"/>
    <x v="83"/>
    <x v="0"/>
  </r>
  <r>
    <x v="88"/>
    <x v="0"/>
    <x v="1"/>
    <x v="79"/>
    <x v="1"/>
    <x v="84"/>
    <x v="0"/>
  </r>
  <r>
    <x v="89"/>
    <x v="1"/>
    <x v="1"/>
    <x v="80"/>
    <x v="1"/>
    <x v="85"/>
    <x v="0"/>
  </r>
  <r>
    <x v="90"/>
    <x v="1"/>
    <x v="3"/>
    <x v="81"/>
    <x v="0"/>
    <x v="86"/>
    <x v="0"/>
  </r>
  <r>
    <x v="91"/>
    <x v="1"/>
    <x v="1"/>
    <x v="82"/>
    <x v="2"/>
    <x v="87"/>
    <x v="0"/>
  </r>
  <r>
    <x v="92"/>
    <x v="1"/>
    <x v="2"/>
    <x v="3"/>
    <x v="0"/>
    <x v="88"/>
    <x v="0"/>
  </r>
  <r>
    <x v="93"/>
    <x v="0"/>
    <x v="3"/>
    <x v="83"/>
    <x v="1"/>
    <x v="89"/>
    <x v="0"/>
  </r>
  <r>
    <x v="94"/>
    <x v="0"/>
    <x v="3"/>
    <x v="84"/>
    <x v="1"/>
    <x v="90"/>
    <x v="0"/>
  </r>
  <r>
    <x v="95"/>
    <x v="0"/>
    <x v="3"/>
    <x v="85"/>
    <x v="1"/>
    <x v="91"/>
    <x v="0"/>
  </r>
  <r>
    <x v="96"/>
    <x v="1"/>
    <x v="3"/>
    <x v="86"/>
    <x v="1"/>
    <x v="92"/>
    <x v="0"/>
  </r>
  <r>
    <x v="97"/>
    <x v="1"/>
    <x v="1"/>
    <x v="47"/>
    <x v="1"/>
    <x v="93"/>
    <x v="0"/>
  </r>
  <r>
    <x v="98"/>
    <x v="0"/>
    <x v="0"/>
    <x v="57"/>
    <x v="1"/>
    <x v="94"/>
    <x v="0"/>
  </r>
  <r>
    <x v="99"/>
    <x v="1"/>
    <x v="1"/>
    <x v="87"/>
    <x v="1"/>
    <x v="95"/>
    <x v="0"/>
  </r>
  <r>
    <x v="100"/>
    <x v="0"/>
    <x v="1"/>
    <x v="88"/>
    <x v="1"/>
    <x v="96"/>
    <x v="0"/>
  </r>
  <r>
    <x v="101"/>
    <x v="1"/>
    <x v="1"/>
    <x v="89"/>
    <x v="1"/>
    <x v="97"/>
    <x v="0"/>
  </r>
  <r>
    <x v="102"/>
    <x v="1"/>
    <x v="4"/>
    <x v="90"/>
    <x v="2"/>
    <x v="98"/>
    <x v="0"/>
  </r>
  <r>
    <x v="103"/>
    <x v="0"/>
    <x v="1"/>
    <x v="91"/>
    <x v="0"/>
    <x v="99"/>
    <x v="0"/>
  </r>
  <r>
    <x v="104"/>
    <x v="1"/>
    <x v="1"/>
    <x v="92"/>
    <x v="0"/>
    <x v="100"/>
    <x v="0"/>
  </r>
  <r>
    <x v="105"/>
    <x v="0"/>
    <x v="3"/>
    <x v="93"/>
    <x v="2"/>
    <x v="101"/>
    <x v="0"/>
  </r>
  <r>
    <x v="106"/>
    <x v="0"/>
    <x v="4"/>
    <x v="94"/>
    <x v="0"/>
    <x v="102"/>
    <x v="0"/>
  </r>
  <r>
    <x v="107"/>
    <x v="1"/>
    <x v="1"/>
    <x v="95"/>
    <x v="1"/>
    <x v="103"/>
    <x v="0"/>
  </r>
  <r>
    <x v="108"/>
    <x v="1"/>
    <x v="1"/>
    <x v="96"/>
    <x v="0"/>
    <x v="104"/>
    <x v="0"/>
  </r>
  <r>
    <x v="109"/>
    <x v="1"/>
    <x v="1"/>
    <x v="21"/>
    <x v="0"/>
    <x v="105"/>
    <x v="0"/>
  </r>
  <r>
    <x v="110"/>
    <x v="1"/>
    <x v="1"/>
    <x v="97"/>
    <x v="2"/>
    <x v="106"/>
    <x v="0"/>
  </r>
  <r>
    <x v="111"/>
    <x v="0"/>
    <x v="4"/>
    <x v="98"/>
    <x v="2"/>
    <x v="107"/>
    <x v="0"/>
  </r>
  <r>
    <x v="112"/>
    <x v="1"/>
    <x v="4"/>
    <x v="99"/>
    <x v="2"/>
    <x v="108"/>
    <x v="0"/>
  </r>
  <r>
    <x v="113"/>
    <x v="0"/>
    <x v="4"/>
    <x v="100"/>
    <x v="0"/>
    <x v="109"/>
    <x v="0"/>
  </r>
  <r>
    <x v="114"/>
    <x v="1"/>
    <x v="4"/>
    <x v="101"/>
    <x v="1"/>
    <x v="110"/>
    <x v="0"/>
  </r>
  <r>
    <x v="115"/>
    <x v="0"/>
    <x v="4"/>
    <x v="102"/>
    <x v="1"/>
    <x v="111"/>
    <x v="0"/>
  </r>
  <r>
    <x v="116"/>
    <x v="0"/>
    <x v="3"/>
    <x v="48"/>
    <x v="1"/>
    <x v="112"/>
    <x v="0"/>
  </r>
  <r>
    <x v="117"/>
    <x v="1"/>
    <x v="1"/>
    <x v="100"/>
    <x v="1"/>
    <x v="113"/>
    <x v="0"/>
  </r>
  <r>
    <x v="118"/>
    <x v="0"/>
    <x v="4"/>
    <x v="103"/>
    <x v="2"/>
    <x v="114"/>
    <x v="0"/>
  </r>
  <r>
    <x v="119"/>
    <x v="1"/>
    <x v="1"/>
    <x v="104"/>
    <x v="1"/>
    <x v="115"/>
    <x v="0"/>
  </r>
  <r>
    <x v="120"/>
    <x v="1"/>
    <x v="4"/>
    <x v="105"/>
    <x v="1"/>
    <x v="116"/>
    <x v="0"/>
  </r>
  <r>
    <x v="121"/>
    <x v="1"/>
    <x v="4"/>
    <x v="106"/>
    <x v="1"/>
    <x v="117"/>
    <x v="0"/>
  </r>
  <r>
    <x v="122"/>
    <x v="1"/>
    <x v="4"/>
    <x v="107"/>
    <x v="1"/>
    <x v="118"/>
    <x v="0"/>
  </r>
  <r>
    <x v="123"/>
    <x v="0"/>
    <x v="4"/>
    <x v="95"/>
    <x v="0"/>
    <x v="119"/>
    <x v="0"/>
  </r>
  <r>
    <x v="124"/>
    <x v="0"/>
    <x v="1"/>
    <x v="108"/>
    <x v="1"/>
    <x v="120"/>
    <x v="0"/>
  </r>
  <r>
    <x v="125"/>
    <x v="1"/>
    <x v="1"/>
    <x v="109"/>
    <x v="1"/>
    <x v="121"/>
    <x v="0"/>
  </r>
  <r>
    <x v="126"/>
    <x v="0"/>
    <x v="4"/>
    <x v="110"/>
    <x v="1"/>
    <x v="122"/>
    <x v="0"/>
  </r>
  <r>
    <x v="127"/>
    <x v="0"/>
    <x v="1"/>
    <x v="111"/>
    <x v="1"/>
    <x v="123"/>
    <x v="0"/>
  </r>
  <r>
    <x v="128"/>
    <x v="0"/>
    <x v="1"/>
    <x v="112"/>
    <x v="1"/>
    <x v="124"/>
    <x v="0"/>
  </r>
  <r>
    <x v="129"/>
    <x v="1"/>
    <x v="4"/>
    <x v="113"/>
    <x v="2"/>
    <x v="125"/>
    <x v="0"/>
  </r>
  <r>
    <x v="130"/>
    <x v="0"/>
    <x v="4"/>
    <x v="114"/>
    <x v="0"/>
    <x v="126"/>
    <x v="0"/>
  </r>
  <r>
    <x v="131"/>
    <x v="0"/>
    <x v="4"/>
    <x v="115"/>
    <x v="1"/>
    <x v="127"/>
    <x v="0"/>
  </r>
  <r>
    <x v="132"/>
    <x v="1"/>
    <x v="1"/>
    <x v="116"/>
    <x v="1"/>
    <x v="128"/>
    <x v="0"/>
  </r>
  <r>
    <x v="133"/>
    <x v="1"/>
    <x v="1"/>
    <x v="117"/>
    <x v="1"/>
    <x v="129"/>
    <x v="0"/>
  </r>
  <r>
    <x v="134"/>
    <x v="0"/>
    <x v="1"/>
    <x v="46"/>
    <x v="2"/>
    <x v="130"/>
    <x v="0"/>
  </r>
  <r>
    <x v="135"/>
    <x v="1"/>
    <x v="1"/>
    <x v="118"/>
    <x v="2"/>
    <x v="131"/>
    <x v="0"/>
  </r>
  <r>
    <x v="136"/>
    <x v="0"/>
    <x v="4"/>
    <x v="119"/>
    <x v="1"/>
    <x v="132"/>
    <x v="0"/>
  </r>
  <r>
    <x v="137"/>
    <x v="1"/>
    <x v="1"/>
    <x v="120"/>
    <x v="1"/>
    <x v="133"/>
    <x v="0"/>
  </r>
  <r>
    <x v="138"/>
    <x v="1"/>
    <x v="4"/>
    <x v="121"/>
    <x v="2"/>
    <x v="134"/>
    <x v="0"/>
  </r>
  <r>
    <x v="139"/>
    <x v="1"/>
    <x v="5"/>
    <x v="122"/>
    <x v="1"/>
    <x v="135"/>
    <x v="0"/>
  </r>
  <r>
    <x v="140"/>
    <x v="0"/>
    <x v="5"/>
    <x v="123"/>
    <x v="1"/>
    <x v="135"/>
    <x v="0"/>
  </r>
  <r>
    <x v="141"/>
    <x v="0"/>
    <x v="5"/>
    <x v="124"/>
    <x v="1"/>
    <x v="136"/>
    <x v="0"/>
  </r>
  <r>
    <x v="142"/>
    <x v="1"/>
    <x v="5"/>
    <x v="125"/>
    <x v="2"/>
    <x v="137"/>
    <x v="0"/>
  </r>
  <r>
    <x v="143"/>
    <x v="1"/>
    <x v="4"/>
    <x v="37"/>
    <x v="1"/>
    <x v="138"/>
    <x v="0"/>
  </r>
  <r>
    <x v="144"/>
    <x v="1"/>
    <x v="5"/>
    <x v="126"/>
    <x v="0"/>
    <x v="139"/>
    <x v="0"/>
  </r>
  <r>
    <x v="145"/>
    <x v="0"/>
    <x v="5"/>
    <x v="127"/>
    <x v="1"/>
    <x v="140"/>
    <x v="0"/>
  </r>
  <r>
    <x v="146"/>
    <x v="1"/>
    <x v="4"/>
    <x v="128"/>
    <x v="1"/>
    <x v="141"/>
    <x v="0"/>
  </r>
  <r>
    <x v="147"/>
    <x v="0"/>
    <x v="5"/>
    <x v="129"/>
    <x v="1"/>
    <x v="142"/>
    <x v="0"/>
  </r>
  <r>
    <x v="148"/>
    <x v="1"/>
    <x v="4"/>
    <x v="130"/>
    <x v="1"/>
    <x v="143"/>
    <x v="0"/>
  </r>
  <r>
    <x v="149"/>
    <x v="1"/>
    <x v="5"/>
    <x v="99"/>
    <x v="1"/>
    <x v="144"/>
    <x v="0"/>
  </r>
  <r>
    <x v="150"/>
    <x v="0"/>
    <x v="4"/>
    <x v="84"/>
    <x v="0"/>
    <x v="145"/>
    <x v="0"/>
  </r>
  <r>
    <x v="151"/>
    <x v="0"/>
    <x v="4"/>
    <x v="131"/>
    <x v="1"/>
    <x v="146"/>
    <x v="0"/>
  </r>
  <r>
    <x v="152"/>
    <x v="0"/>
    <x v="4"/>
    <x v="131"/>
    <x v="1"/>
    <x v="146"/>
    <x v="0"/>
  </r>
  <r>
    <x v="153"/>
    <x v="1"/>
    <x v="5"/>
    <x v="132"/>
    <x v="1"/>
    <x v="147"/>
    <x v="0"/>
  </r>
  <r>
    <x v="154"/>
    <x v="0"/>
    <x v="5"/>
    <x v="91"/>
    <x v="0"/>
    <x v="148"/>
    <x v="0"/>
  </r>
  <r>
    <x v="155"/>
    <x v="0"/>
    <x v="4"/>
    <x v="133"/>
    <x v="1"/>
    <x v="149"/>
    <x v="0"/>
  </r>
  <r>
    <x v="156"/>
    <x v="0"/>
    <x v="5"/>
    <x v="134"/>
    <x v="2"/>
    <x v="150"/>
    <x v="0"/>
  </r>
  <r>
    <x v="157"/>
    <x v="1"/>
    <x v="5"/>
    <x v="135"/>
    <x v="0"/>
    <x v="151"/>
    <x v="0"/>
  </r>
  <r>
    <x v="158"/>
    <x v="1"/>
    <x v="5"/>
    <x v="136"/>
    <x v="0"/>
    <x v="152"/>
    <x v="0"/>
  </r>
  <r>
    <x v="159"/>
    <x v="0"/>
    <x v="4"/>
    <x v="137"/>
    <x v="1"/>
    <x v="153"/>
    <x v="0"/>
  </r>
  <r>
    <x v="160"/>
    <x v="0"/>
    <x v="3"/>
    <x v="138"/>
    <x v="1"/>
    <x v="154"/>
    <x v="0"/>
  </r>
  <r>
    <x v="161"/>
    <x v="0"/>
    <x v="4"/>
    <x v="139"/>
    <x v="1"/>
    <x v="155"/>
    <x v="0"/>
  </r>
  <r>
    <x v="162"/>
    <x v="1"/>
    <x v="4"/>
    <x v="140"/>
    <x v="2"/>
    <x v="156"/>
    <x v="0"/>
  </r>
  <r>
    <x v="163"/>
    <x v="1"/>
    <x v="5"/>
    <x v="57"/>
    <x v="1"/>
    <x v="157"/>
    <x v="0"/>
  </r>
  <r>
    <x v="164"/>
    <x v="1"/>
    <x v="4"/>
    <x v="34"/>
    <x v="1"/>
    <x v="158"/>
    <x v="0"/>
  </r>
  <r>
    <x v="165"/>
    <x v="0"/>
    <x v="4"/>
    <x v="141"/>
    <x v="0"/>
    <x v="159"/>
    <x v="0"/>
  </r>
  <r>
    <x v="166"/>
    <x v="1"/>
    <x v="5"/>
    <x v="142"/>
    <x v="1"/>
    <x v="160"/>
    <x v="0"/>
  </r>
  <r>
    <x v="167"/>
    <x v="1"/>
    <x v="4"/>
    <x v="143"/>
    <x v="2"/>
    <x v="161"/>
    <x v="0"/>
  </r>
  <r>
    <x v="168"/>
    <x v="1"/>
    <x v="4"/>
    <x v="144"/>
    <x v="1"/>
    <x v="162"/>
    <x v="0"/>
  </r>
  <r>
    <x v="169"/>
    <x v="1"/>
    <x v="5"/>
    <x v="145"/>
    <x v="0"/>
    <x v="163"/>
    <x v="0"/>
  </r>
  <r>
    <x v="170"/>
    <x v="1"/>
    <x v="4"/>
    <x v="146"/>
    <x v="1"/>
    <x v="164"/>
    <x v="0"/>
  </r>
  <r>
    <x v="171"/>
    <x v="1"/>
    <x v="4"/>
    <x v="17"/>
    <x v="0"/>
    <x v="165"/>
    <x v="0"/>
  </r>
  <r>
    <x v="172"/>
    <x v="0"/>
    <x v="4"/>
    <x v="147"/>
    <x v="2"/>
    <x v="165"/>
    <x v="0"/>
  </r>
  <r>
    <x v="173"/>
    <x v="1"/>
    <x v="2"/>
    <x v="148"/>
    <x v="2"/>
    <x v="166"/>
    <x v="0"/>
  </r>
  <r>
    <x v="174"/>
    <x v="1"/>
    <x v="5"/>
    <x v="82"/>
    <x v="1"/>
    <x v="167"/>
    <x v="0"/>
  </r>
  <r>
    <x v="175"/>
    <x v="1"/>
    <x v="5"/>
    <x v="99"/>
    <x v="1"/>
    <x v="168"/>
    <x v="0"/>
  </r>
  <r>
    <x v="176"/>
    <x v="1"/>
    <x v="5"/>
    <x v="99"/>
    <x v="1"/>
    <x v="168"/>
    <x v="0"/>
  </r>
  <r>
    <x v="177"/>
    <x v="1"/>
    <x v="5"/>
    <x v="149"/>
    <x v="1"/>
    <x v="169"/>
    <x v="0"/>
  </r>
  <r>
    <x v="178"/>
    <x v="0"/>
    <x v="5"/>
    <x v="29"/>
    <x v="0"/>
    <x v="170"/>
    <x v="0"/>
  </r>
  <r>
    <x v="179"/>
    <x v="1"/>
    <x v="2"/>
    <x v="150"/>
    <x v="1"/>
    <x v="171"/>
    <x v="0"/>
  </r>
  <r>
    <x v="180"/>
    <x v="1"/>
    <x v="2"/>
    <x v="126"/>
    <x v="0"/>
    <x v="172"/>
    <x v="1"/>
  </r>
  <r>
    <x v="181"/>
    <x v="0"/>
    <x v="2"/>
    <x v="70"/>
    <x v="0"/>
    <x v="173"/>
    <x v="1"/>
  </r>
  <r>
    <x v="182"/>
    <x v="0"/>
    <x v="0"/>
    <x v="151"/>
    <x v="0"/>
    <x v="174"/>
    <x v="1"/>
  </r>
  <r>
    <x v="183"/>
    <x v="0"/>
    <x v="2"/>
    <x v="152"/>
    <x v="1"/>
    <x v="175"/>
    <x v="1"/>
  </r>
  <r>
    <x v="184"/>
    <x v="0"/>
    <x v="2"/>
    <x v="136"/>
    <x v="1"/>
    <x v="176"/>
    <x v="1"/>
  </r>
  <r>
    <x v="185"/>
    <x v="0"/>
    <x v="0"/>
    <x v="153"/>
    <x v="1"/>
    <x v="177"/>
    <x v="1"/>
  </r>
  <r>
    <x v="186"/>
    <x v="0"/>
    <x v="2"/>
    <x v="154"/>
    <x v="0"/>
    <x v="178"/>
    <x v="1"/>
  </r>
  <r>
    <x v="187"/>
    <x v="0"/>
    <x v="1"/>
    <x v="155"/>
    <x v="1"/>
    <x v="179"/>
    <x v="1"/>
  </r>
  <r>
    <x v="188"/>
    <x v="1"/>
    <x v="2"/>
    <x v="156"/>
    <x v="2"/>
    <x v="180"/>
    <x v="1"/>
  </r>
  <r>
    <x v="189"/>
    <x v="0"/>
    <x v="0"/>
    <x v="157"/>
    <x v="0"/>
    <x v="181"/>
    <x v="1"/>
  </r>
  <r>
    <x v="190"/>
    <x v="0"/>
    <x v="2"/>
    <x v="32"/>
    <x v="1"/>
    <x v="182"/>
    <x v="1"/>
  </r>
  <r>
    <x v="191"/>
    <x v="1"/>
    <x v="1"/>
    <x v="130"/>
    <x v="1"/>
    <x v="183"/>
    <x v="1"/>
  </r>
  <r>
    <x v="192"/>
    <x v="1"/>
    <x v="1"/>
    <x v="158"/>
    <x v="2"/>
    <x v="184"/>
    <x v="1"/>
  </r>
  <r>
    <x v="193"/>
    <x v="1"/>
    <x v="1"/>
    <x v="45"/>
    <x v="1"/>
    <x v="185"/>
    <x v="1"/>
  </r>
  <r>
    <x v="194"/>
    <x v="0"/>
    <x v="1"/>
    <x v="159"/>
    <x v="2"/>
    <x v="186"/>
    <x v="1"/>
  </r>
  <r>
    <x v="195"/>
    <x v="1"/>
    <x v="4"/>
    <x v="160"/>
    <x v="1"/>
    <x v="187"/>
    <x v="1"/>
  </r>
  <r>
    <x v="196"/>
    <x v="0"/>
    <x v="1"/>
    <x v="161"/>
    <x v="0"/>
    <x v="188"/>
    <x v="1"/>
  </r>
  <r>
    <x v="197"/>
    <x v="1"/>
    <x v="4"/>
    <x v="14"/>
    <x v="1"/>
    <x v="189"/>
    <x v="1"/>
  </r>
  <r>
    <x v="198"/>
    <x v="1"/>
    <x v="5"/>
    <x v="162"/>
    <x v="0"/>
    <x v="190"/>
    <x v="1"/>
  </r>
  <r>
    <x v="199"/>
    <x v="1"/>
    <x v="4"/>
    <x v="163"/>
    <x v="1"/>
    <x v="191"/>
    <x v="1"/>
  </r>
  <r>
    <x v="200"/>
    <x v="1"/>
    <x v="5"/>
    <x v="140"/>
    <x v="1"/>
    <x v="192"/>
    <x v="1"/>
  </r>
  <r>
    <x v="201"/>
    <x v="1"/>
    <x v="4"/>
    <x v="164"/>
    <x v="1"/>
    <x v="193"/>
    <x v="1"/>
  </r>
  <r>
    <x v="202"/>
    <x v="1"/>
    <x v="4"/>
    <x v="165"/>
    <x v="1"/>
    <x v="194"/>
    <x v="1"/>
  </r>
  <r>
    <x v="203"/>
    <x v="1"/>
    <x v="4"/>
    <x v="166"/>
    <x v="1"/>
    <x v="195"/>
    <x v="1"/>
  </r>
  <r>
    <x v="204"/>
    <x v="1"/>
    <x v="5"/>
    <x v="167"/>
    <x v="0"/>
    <x v="196"/>
    <x v="1"/>
  </r>
  <r>
    <x v="205"/>
    <x v="1"/>
    <x v="0"/>
    <x v="168"/>
    <x v="0"/>
    <x v="197"/>
    <x v="1"/>
  </r>
  <r>
    <x v="206"/>
    <x v="0"/>
    <x v="5"/>
    <x v="169"/>
    <x v="0"/>
    <x v="198"/>
    <x v="1"/>
  </r>
  <r>
    <x v="207"/>
    <x v="0"/>
    <x v="4"/>
    <x v="170"/>
    <x v="1"/>
    <x v="199"/>
    <x v="1"/>
  </r>
  <r>
    <x v="208"/>
    <x v="0"/>
    <x v="4"/>
    <x v="171"/>
    <x v="1"/>
    <x v="200"/>
    <x v="1"/>
  </r>
  <r>
    <x v="209"/>
    <x v="0"/>
    <x v="5"/>
    <x v="172"/>
    <x v="1"/>
    <x v="201"/>
    <x v="1"/>
  </r>
  <r>
    <x v="210"/>
    <x v="0"/>
    <x v="5"/>
    <x v="162"/>
    <x v="2"/>
    <x v="202"/>
    <x v="1"/>
  </r>
  <r>
    <x v="211"/>
    <x v="1"/>
    <x v="0"/>
    <x v="46"/>
    <x v="1"/>
    <x v="203"/>
    <x v="2"/>
  </r>
  <r>
    <x v="212"/>
    <x v="0"/>
    <x v="0"/>
    <x v="40"/>
    <x v="0"/>
    <x v="204"/>
    <x v="2"/>
  </r>
  <r>
    <x v="213"/>
    <x v="1"/>
    <x v="2"/>
    <x v="25"/>
    <x v="2"/>
    <x v="205"/>
    <x v="2"/>
  </r>
  <r>
    <x v="214"/>
    <x v="1"/>
    <x v="1"/>
    <x v="173"/>
    <x v="0"/>
    <x v="206"/>
    <x v="2"/>
  </r>
  <r>
    <x v="215"/>
    <x v="1"/>
    <x v="3"/>
    <x v="174"/>
    <x v="1"/>
    <x v="207"/>
    <x v="2"/>
  </r>
  <r>
    <x v="216"/>
    <x v="1"/>
    <x v="2"/>
    <x v="175"/>
    <x v="0"/>
    <x v="208"/>
    <x v="2"/>
  </r>
  <r>
    <x v="217"/>
    <x v="0"/>
    <x v="3"/>
    <x v="121"/>
    <x v="1"/>
    <x v="209"/>
    <x v="2"/>
  </r>
  <r>
    <x v="218"/>
    <x v="1"/>
    <x v="2"/>
    <x v="176"/>
    <x v="0"/>
    <x v="210"/>
    <x v="2"/>
  </r>
  <r>
    <x v="219"/>
    <x v="0"/>
    <x v="3"/>
    <x v="177"/>
    <x v="0"/>
    <x v="211"/>
    <x v="2"/>
  </r>
  <r>
    <x v="220"/>
    <x v="0"/>
    <x v="1"/>
    <x v="168"/>
    <x v="1"/>
    <x v="212"/>
    <x v="2"/>
  </r>
  <r>
    <x v="221"/>
    <x v="0"/>
    <x v="1"/>
    <x v="178"/>
    <x v="1"/>
    <x v="213"/>
    <x v="2"/>
  </r>
  <r>
    <x v="222"/>
    <x v="1"/>
    <x v="2"/>
    <x v="162"/>
    <x v="1"/>
    <x v="52"/>
    <x v="2"/>
  </r>
  <r>
    <x v="223"/>
    <x v="1"/>
    <x v="1"/>
    <x v="179"/>
    <x v="2"/>
    <x v="214"/>
    <x v="2"/>
  </r>
  <r>
    <x v="224"/>
    <x v="1"/>
    <x v="1"/>
    <x v="117"/>
    <x v="2"/>
    <x v="215"/>
    <x v="2"/>
  </r>
  <r>
    <x v="225"/>
    <x v="1"/>
    <x v="1"/>
    <x v="135"/>
    <x v="0"/>
    <x v="216"/>
    <x v="2"/>
  </r>
  <r>
    <x v="226"/>
    <x v="1"/>
    <x v="1"/>
    <x v="180"/>
    <x v="0"/>
    <x v="217"/>
    <x v="2"/>
  </r>
  <r>
    <x v="227"/>
    <x v="0"/>
    <x v="2"/>
    <x v="181"/>
    <x v="2"/>
    <x v="218"/>
    <x v="2"/>
  </r>
  <r>
    <x v="228"/>
    <x v="1"/>
    <x v="1"/>
    <x v="182"/>
    <x v="2"/>
    <x v="219"/>
    <x v="2"/>
  </r>
  <r>
    <x v="229"/>
    <x v="0"/>
    <x v="1"/>
    <x v="183"/>
    <x v="1"/>
    <x v="220"/>
    <x v="2"/>
  </r>
  <r>
    <x v="230"/>
    <x v="1"/>
    <x v="3"/>
    <x v="184"/>
    <x v="1"/>
    <x v="221"/>
    <x v="2"/>
  </r>
  <r>
    <x v="231"/>
    <x v="0"/>
    <x v="3"/>
    <x v="185"/>
    <x v="2"/>
    <x v="222"/>
    <x v="2"/>
  </r>
  <r>
    <x v="232"/>
    <x v="0"/>
    <x v="1"/>
    <x v="117"/>
    <x v="0"/>
    <x v="80"/>
    <x v="2"/>
  </r>
  <r>
    <x v="233"/>
    <x v="0"/>
    <x v="1"/>
    <x v="186"/>
    <x v="1"/>
    <x v="223"/>
    <x v="2"/>
  </r>
  <r>
    <x v="234"/>
    <x v="1"/>
    <x v="3"/>
    <x v="187"/>
    <x v="1"/>
    <x v="86"/>
    <x v="2"/>
  </r>
  <r>
    <x v="235"/>
    <x v="0"/>
    <x v="1"/>
    <x v="188"/>
    <x v="0"/>
    <x v="224"/>
    <x v="2"/>
  </r>
  <r>
    <x v="236"/>
    <x v="0"/>
    <x v="3"/>
    <x v="189"/>
    <x v="1"/>
    <x v="225"/>
    <x v="2"/>
  </r>
  <r>
    <x v="237"/>
    <x v="0"/>
    <x v="3"/>
    <x v="189"/>
    <x v="0"/>
    <x v="225"/>
    <x v="2"/>
  </r>
  <r>
    <x v="238"/>
    <x v="0"/>
    <x v="3"/>
    <x v="164"/>
    <x v="1"/>
    <x v="226"/>
    <x v="2"/>
  </r>
  <r>
    <x v="239"/>
    <x v="1"/>
    <x v="1"/>
    <x v="44"/>
    <x v="2"/>
    <x v="227"/>
    <x v="2"/>
  </r>
  <r>
    <x v="240"/>
    <x v="0"/>
    <x v="1"/>
    <x v="190"/>
    <x v="1"/>
    <x v="228"/>
    <x v="2"/>
  </r>
  <r>
    <x v="241"/>
    <x v="1"/>
    <x v="1"/>
    <x v="191"/>
    <x v="1"/>
    <x v="229"/>
    <x v="2"/>
  </r>
  <r>
    <x v="242"/>
    <x v="1"/>
    <x v="1"/>
    <x v="191"/>
    <x v="1"/>
    <x v="229"/>
    <x v="2"/>
  </r>
  <r>
    <x v="243"/>
    <x v="1"/>
    <x v="3"/>
    <x v="192"/>
    <x v="1"/>
    <x v="230"/>
    <x v="2"/>
  </r>
  <r>
    <x v="244"/>
    <x v="1"/>
    <x v="1"/>
    <x v="193"/>
    <x v="1"/>
    <x v="231"/>
    <x v="2"/>
  </r>
  <r>
    <x v="245"/>
    <x v="0"/>
    <x v="3"/>
    <x v="194"/>
    <x v="1"/>
    <x v="232"/>
    <x v="2"/>
  </r>
  <r>
    <x v="246"/>
    <x v="0"/>
    <x v="1"/>
    <x v="174"/>
    <x v="0"/>
    <x v="233"/>
    <x v="2"/>
  </r>
  <r>
    <x v="247"/>
    <x v="1"/>
    <x v="1"/>
    <x v="195"/>
    <x v="0"/>
    <x v="234"/>
    <x v="2"/>
  </r>
  <r>
    <x v="248"/>
    <x v="0"/>
    <x v="3"/>
    <x v="71"/>
    <x v="1"/>
    <x v="235"/>
    <x v="2"/>
  </r>
  <r>
    <x v="249"/>
    <x v="0"/>
    <x v="1"/>
    <x v="196"/>
    <x v="2"/>
    <x v="236"/>
    <x v="2"/>
  </r>
  <r>
    <x v="250"/>
    <x v="1"/>
    <x v="1"/>
    <x v="197"/>
    <x v="1"/>
    <x v="237"/>
    <x v="2"/>
  </r>
  <r>
    <x v="251"/>
    <x v="0"/>
    <x v="1"/>
    <x v="198"/>
    <x v="1"/>
    <x v="238"/>
    <x v="2"/>
  </r>
  <r>
    <x v="252"/>
    <x v="0"/>
    <x v="4"/>
    <x v="199"/>
    <x v="0"/>
    <x v="239"/>
    <x v="2"/>
  </r>
  <r>
    <x v="253"/>
    <x v="1"/>
    <x v="1"/>
    <x v="200"/>
    <x v="2"/>
    <x v="240"/>
    <x v="2"/>
  </r>
  <r>
    <x v="254"/>
    <x v="0"/>
    <x v="4"/>
    <x v="201"/>
    <x v="1"/>
    <x v="241"/>
    <x v="2"/>
  </r>
  <r>
    <x v="255"/>
    <x v="1"/>
    <x v="1"/>
    <x v="202"/>
    <x v="1"/>
    <x v="242"/>
    <x v="2"/>
  </r>
  <r>
    <x v="256"/>
    <x v="1"/>
    <x v="1"/>
    <x v="9"/>
    <x v="1"/>
    <x v="243"/>
    <x v="2"/>
  </r>
  <r>
    <x v="257"/>
    <x v="1"/>
    <x v="1"/>
    <x v="203"/>
    <x v="1"/>
    <x v="244"/>
    <x v="2"/>
  </r>
  <r>
    <x v="258"/>
    <x v="1"/>
    <x v="4"/>
    <x v="86"/>
    <x v="0"/>
    <x v="245"/>
    <x v="2"/>
  </r>
  <r>
    <x v="259"/>
    <x v="1"/>
    <x v="4"/>
    <x v="77"/>
    <x v="1"/>
    <x v="246"/>
    <x v="2"/>
  </r>
  <r>
    <x v="260"/>
    <x v="0"/>
    <x v="4"/>
    <x v="54"/>
    <x v="1"/>
    <x v="247"/>
    <x v="2"/>
  </r>
  <r>
    <x v="261"/>
    <x v="0"/>
    <x v="4"/>
    <x v="176"/>
    <x v="1"/>
    <x v="248"/>
    <x v="2"/>
  </r>
  <r>
    <x v="262"/>
    <x v="0"/>
    <x v="4"/>
    <x v="204"/>
    <x v="0"/>
    <x v="249"/>
    <x v="2"/>
  </r>
  <r>
    <x v="263"/>
    <x v="0"/>
    <x v="4"/>
    <x v="205"/>
    <x v="2"/>
    <x v="250"/>
    <x v="2"/>
  </r>
  <r>
    <x v="264"/>
    <x v="0"/>
    <x v="4"/>
    <x v="96"/>
    <x v="0"/>
    <x v="251"/>
    <x v="2"/>
  </r>
  <r>
    <x v="265"/>
    <x v="1"/>
    <x v="4"/>
    <x v="206"/>
    <x v="1"/>
    <x v="252"/>
    <x v="2"/>
  </r>
  <r>
    <x v="266"/>
    <x v="0"/>
    <x v="4"/>
    <x v="207"/>
    <x v="0"/>
    <x v="253"/>
    <x v="2"/>
  </r>
  <r>
    <x v="267"/>
    <x v="0"/>
    <x v="4"/>
    <x v="171"/>
    <x v="1"/>
    <x v="254"/>
    <x v="2"/>
  </r>
  <r>
    <x v="268"/>
    <x v="0"/>
    <x v="4"/>
    <x v="208"/>
    <x v="1"/>
    <x v="255"/>
    <x v="2"/>
  </r>
  <r>
    <x v="269"/>
    <x v="0"/>
    <x v="4"/>
    <x v="209"/>
    <x v="1"/>
    <x v="256"/>
    <x v="2"/>
  </r>
  <r>
    <x v="270"/>
    <x v="0"/>
    <x v="4"/>
    <x v="210"/>
    <x v="0"/>
    <x v="257"/>
    <x v="2"/>
  </r>
  <r>
    <x v="271"/>
    <x v="0"/>
    <x v="4"/>
    <x v="211"/>
    <x v="1"/>
    <x v="258"/>
    <x v="2"/>
  </r>
  <r>
    <x v="272"/>
    <x v="1"/>
    <x v="5"/>
    <x v="71"/>
    <x v="0"/>
    <x v="259"/>
    <x v="2"/>
  </r>
  <r>
    <x v="273"/>
    <x v="1"/>
    <x v="4"/>
    <x v="159"/>
    <x v="1"/>
    <x v="260"/>
    <x v="2"/>
  </r>
  <r>
    <x v="274"/>
    <x v="0"/>
    <x v="5"/>
    <x v="212"/>
    <x v="2"/>
    <x v="261"/>
    <x v="2"/>
  </r>
  <r>
    <x v="275"/>
    <x v="1"/>
    <x v="4"/>
    <x v="213"/>
    <x v="0"/>
    <x v="262"/>
    <x v="2"/>
  </r>
  <r>
    <x v="276"/>
    <x v="1"/>
    <x v="5"/>
    <x v="98"/>
    <x v="1"/>
    <x v="263"/>
    <x v="2"/>
  </r>
  <r>
    <x v="277"/>
    <x v="0"/>
    <x v="5"/>
    <x v="214"/>
    <x v="1"/>
    <x v="264"/>
    <x v="2"/>
  </r>
  <r>
    <x v="278"/>
    <x v="1"/>
    <x v="5"/>
    <x v="155"/>
    <x v="0"/>
    <x v="265"/>
    <x v="2"/>
  </r>
  <r>
    <x v="279"/>
    <x v="0"/>
    <x v="5"/>
    <x v="215"/>
    <x v="1"/>
    <x v="266"/>
    <x v="2"/>
  </r>
  <r>
    <x v="280"/>
    <x v="0"/>
    <x v="2"/>
    <x v="216"/>
    <x v="0"/>
    <x v="267"/>
    <x v="3"/>
  </r>
  <r>
    <x v="281"/>
    <x v="0"/>
    <x v="1"/>
    <x v="217"/>
    <x v="0"/>
    <x v="268"/>
    <x v="3"/>
  </r>
  <r>
    <x v="282"/>
    <x v="0"/>
    <x v="4"/>
    <x v="218"/>
    <x v="2"/>
    <x v="269"/>
    <x v="3"/>
  </r>
  <r>
    <x v="283"/>
    <x v="1"/>
    <x v="5"/>
    <x v="219"/>
    <x v="0"/>
    <x v="270"/>
    <x v="3"/>
  </r>
  <r>
    <x v="284"/>
    <x v="1"/>
    <x v="0"/>
    <x v="105"/>
    <x v="2"/>
    <x v="271"/>
    <x v="4"/>
  </r>
  <r>
    <x v="285"/>
    <x v="1"/>
    <x v="2"/>
    <x v="24"/>
    <x v="0"/>
    <x v="272"/>
    <x v="4"/>
  </r>
  <r>
    <x v="286"/>
    <x v="0"/>
    <x v="2"/>
    <x v="220"/>
    <x v="1"/>
    <x v="273"/>
    <x v="4"/>
  </r>
  <r>
    <x v="287"/>
    <x v="0"/>
    <x v="3"/>
    <x v="121"/>
    <x v="1"/>
    <x v="274"/>
    <x v="4"/>
  </r>
  <r>
    <x v="288"/>
    <x v="1"/>
    <x v="3"/>
    <x v="221"/>
    <x v="1"/>
    <x v="209"/>
    <x v="4"/>
  </r>
  <r>
    <x v="289"/>
    <x v="0"/>
    <x v="2"/>
    <x v="39"/>
    <x v="1"/>
    <x v="275"/>
    <x v="4"/>
  </r>
  <r>
    <x v="290"/>
    <x v="0"/>
    <x v="1"/>
    <x v="204"/>
    <x v="2"/>
    <x v="276"/>
    <x v="4"/>
  </r>
  <r>
    <x v="291"/>
    <x v="0"/>
    <x v="4"/>
    <x v="222"/>
    <x v="1"/>
    <x v="277"/>
    <x v="4"/>
  </r>
  <r>
    <x v="292"/>
    <x v="1"/>
    <x v="1"/>
    <x v="18"/>
    <x v="1"/>
    <x v="278"/>
    <x v="4"/>
  </r>
  <r>
    <x v="293"/>
    <x v="1"/>
    <x v="5"/>
    <x v="113"/>
    <x v="0"/>
    <x v="279"/>
    <x v="4"/>
  </r>
  <r>
    <x v="294"/>
    <x v="1"/>
    <x v="5"/>
    <x v="223"/>
    <x v="1"/>
    <x v="151"/>
    <x v="4"/>
  </r>
  <r>
    <x v="295"/>
    <x v="0"/>
    <x v="4"/>
    <x v="224"/>
    <x v="1"/>
    <x v="280"/>
    <x v="4"/>
  </r>
  <r>
    <x v="296"/>
    <x v="0"/>
    <x v="2"/>
    <x v="114"/>
    <x v="1"/>
    <x v="281"/>
    <x v="4"/>
  </r>
  <r>
    <x v="297"/>
    <x v="1"/>
    <x v="1"/>
    <x v="225"/>
    <x v="1"/>
    <x v="282"/>
    <x v="4"/>
  </r>
  <r>
    <x v="298"/>
    <x v="1"/>
    <x v="4"/>
    <x v="226"/>
    <x v="0"/>
    <x v="283"/>
    <x v="4"/>
  </r>
  <r>
    <x v="299"/>
    <x v="0"/>
    <x v="5"/>
    <x v="227"/>
    <x v="1"/>
    <x v="284"/>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2ECAF9-20F6-4995-9DE2-6496F7A5EF78}" name="PivotTable1" cacheId="2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8">
    <pivotField dataField="1" showAll="0"/>
    <pivotField axis="axisRow" showAll="0">
      <items count="4">
        <item x="1"/>
        <item x="0"/>
        <item x="2"/>
        <item t="default"/>
      </items>
    </pivotField>
    <pivotField showAll="0">
      <items count="8">
        <item x="5"/>
        <item x="0"/>
        <item x="2"/>
        <item x="4"/>
        <item x="6"/>
        <item x="3"/>
        <item x="1"/>
        <item t="default"/>
      </items>
    </pivotField>
    <pivotField showAll="0">
      <items count="219">
        <item x="21"/>
        <item x="199"/>
        <item x="148"/>
        <item x="142"/>
        <item x="213"/>
        <item x="25"/>
        <item x="26"/>
        <item x="106"/>
        <item x="93"/>
        <item x="78"/>
        <item x="165"/>
        <item x="81"/>
        <item x="53"/>
        <item x="121"/>
        <item x="193"/>
        <item x="45"/>
        <item x="186"/>
        <item x="10"/>
        <item x="150"/>
        <item x="200"/>
        <item x="27"/>
        <item x="195"/>
        <item x="160"/>
        <item x="180"/>
        <item x="171"/>
        <item x="177"/>
        <item x="158"/>
        <item x="7"/>
        <item x="35"/>
        <item x="174"/>
        <item x="9"/>
        <item x="153"/>
        <item x="33"/>
        <item x="115"/>
        <item x="95"/>
        <item x="201"/>
        <item x="13"/>
        <item x="125"/>
        <item x="185"/>
        <item x="202"/>
        <item x="189"/>
        <item x="108"/>
        <item x="205"/>
        <item x="1"/>
        <item x="52"/>
        <item x="191"/>
        <item x="40"/>
        <item x="111"/>
        <item x="215"/>
        <item x="184"/>
        <item x="75"/>
        <item x="102"/>
        <item x="91"/>
        <item x="19"/>
        <item x="129"/>
        <item x="30"/>
        <item x="145"/>
        <item x="73"/>
        <item x="130"/>
        <item x="187"/>
        <item x="116"/>
        <item x="48"/>
        <item x="100"/>
        <item x="112"/>
        <item x="167"/>
        <item x="124"/>
        <item x="196"/>
        <item x="152"/>
        <item x="175"/>
        <item x="166"/>
        <item x="64"/>
        <item x="8"/>
        <item x="89"/>
        <item x="192"/>
        <item x="140"/>
        <item x="209"/>
        <item x="206"/>
        <item x="72"/>
        <item x="24"/>
        <item x="159"/>
        <item x="127"/>
        <item x="208"/>
        <item x="190"/>
        <item x="67"/>
        <item x="198"/>
        <item x="99"/>
        <item x="103"/>
        <item x="164"/>
        <item x="58"/>
        <item x="57"/>
        <item x="117"/>
        <item x="181"/>
        <item x="22"/>
        <item x="151"/>
        <item x="109"/>
        <item x="31"/>
        <item x="128"/>
        <item x="62"/>
        <item x="65"/>
        <item x="44"/>
        <item x="118"/>
        <item x="42"/>
        <item x="137"/>
        <item x="50"/>
        <item x="18"/>
        <item x="94"/>
        <item x="39"/>
        <item x="54"/>
        <item x="84"/>
        <item x="123"/>
        <item x="82"/>
        <item x="23"/>
        <item x="157"/>
        <item x="74"/>
        <item x="101"/>
        <item x="110"/>
        <item x="197"/>
        <item x="20"/>
        <item x="51"/>
        <item x="149"/>
        <item x="63"/>
        <item x="182"/>
        <item x="211"/>
        <item x="28"/>
        <item x="96"/>
        <item x="5"/>
        <item x="163"/>
        <item x="132"/>
        <item x="126"/>
        <item x="107"/>
        <item x="34"/>
        <item x="68"/>
        <item x="170"/>
        <item x="32"/>
        <item x="0"/>
        <item x="194"/>
        <item x="85"/>
        <item x="17"/>
        <item x="217"/>
        <item x="120"/>
        <item x="36"/>
        <item x="49"/>
        <item x="4"/>
        <item x="12"/>
        <item x="161"/>
        <item x="77"/>
        <item x="139"/>
        <item x="14"/>
        <item x="97"/>
        <item x="15"/>
        <item x="143"/>
        <item x="134"/>
        <item x="70"/>
        <item x="6"/>
        <item x="80"/>
        <item x="214"/>
        <item x="179"/>
        <item x="162"/>
        <item x="46"/>
        <item x="146"/>
        <item x="203"/>
        <item x="136"/>
        <item x="29"/>
        <item x="119"/>
        <item x="87"/>
        <item x="210"/>
        <item x="183"/>
        <item x="69"/>
        <item x="155"/>
        <item x="83"/>
        <item x="169"/>
        <item x="16"/>
        <item x="122"/>
        <item x="88"/>
        <item x="113"/>
        <item x="59"/>
        <item x="2"/>
        <item x="173"/>
        <item x="60"/>
        <item x="79"/>
        <item x="147"/>
        <item x="3"/>
        <item x="114"/>
        <item x="56"/>
        <item x="141"/>
        <item x="144"/>
        <item x="135"/>
        <item x="86"/>
        <item x="41"/>
        <item x="47"/>
        <item x="43"/>
        <item x="98"/>
        <item x="188"/>
        <item x="172"/>
        <item x="55"/>
        <item x="105"/>
        <item x="212"/>
        <item x="104"/>
        <item x="168"/>
        <item x="133"/>
        <item x="176"/>
        <item x="154"/>
        <item x="66"/>
        <item x="178"/>
        <item x="90"/>
        <item x="138"/>
        <item x="207"/>
        <item x="61"/>
        <item x="92"/>
        <item x="76"/>
        <item x="131"/>
        <item x="204"/>
        <item x="38"/>
        <item x="71"/>
        <item x="37"/>
        <item x="156"/>
        <item x="216"/>
        <item x="11"/>
        <item t="default"/>
      </items>
    </pivotField>
    <pivotField showAll="0">
      <items count="5">
        <item x="0"/>
        <item x="3"/>
        <item x="1"/>
        <item x="2"/>
        <item t="default"/>
      </items>
    </pivotField>
    <pivotField showAll="0"/>
    <pivotField showAll="0">
      <items count="6">
        <item x="1"/>
        <item x="4"/>
        <item x="3"/>
        <item x="0"/>
        <item x="2"/>
        <item t="default"/>
      </items>
    </pivotField>
    <pivotField showAll="0">
      <items count="2">
        <item x="0"/>
        <item t="default"/>
      </items>
    </pivotField>
  </pivotFields>
  <rowFields count="1">
    <field x="1"/>
  </rowFields>
  <rowItems count="4">
    <i>
      <x/>
    </i>
    <i>
      <x v="1"/>
    </i>
    <i>
      <x v="2"/>
    </i>
    <i t="grand">
      <x/>
    </i>
  </rowItems>
  <colItems count="1">
    <i/>
  </colItems>
  <dataFields count="1">
    <dataField name="Count of Stude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5DD3AD-7BAB-4725-A244-55E811573FE7}" name="PivotTable2" cacheId="2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1" firstHeaderRow="1" firstDataRow="1" firstDataCol="1"/>
  <pivotFields count="8">
    <pivotField dataField="1" showAll="0"/>
    <pivotField showAll="0">
      <items count="4">
        <item x="1"/>
        <item x="0"/>
        <item x="2"/>
        <item t="default"/>
      </items>
    </pivotField>
    <pivotField axis="axisRow" showAll="0">
      <items count="8">
        <item x="5"/>
        <item x="0"/>
        <item x="2"/>
        <item x="4"/>
        <item x="6"/>
        <item x="3"/>
        <item x="1"/>
        <item t="default"/>
      </items>
    </pivotField>
    <pivotField showAll="0">
      <items count="219">
        <item x="21"/>
        <item x="199"/>
        <item x="148"/>
        <item x="142"/>
        <item x="213"/>
        <item x="25"/>
        <item x="26"/>
        <item x="106"/>
        <item x="93"/>
        <item x="78"/>
        <item x="165"/>
        <item x="81"/>
        <item x="53"/>
        <item x="121"/>
        <item x="193"/>
        <item x="45"/>
        <item x="186"/>
        <item x="10"/>
        <item x="150"/>
        <item x="200"/>
        <item x="27"/>
        <item x="195"/>
        <item x="160"/>
        <item x="180"/>
        <item x="171"/>
        <item x="177"/>
        <item x="158"/>
        <item x="7"/>
        <item x="35"/>
        <item x="174"/>
        <item x="9"/>
        <item x="153"/>
        <item x="33"/>
        <item x="115"/>
        <item x="95"/>
        <item x="201"/>
        <item x="13"/>
        <item x="125"/>
        <item x="185"/>
        <item x="202"/>
        <item x="189"/>
        <item x="108"/>
        <item x="205"/>
        <item x="1"/>
        <item x="52"/>
        <item x="191"/>
        <item x="40"/>
        <item x="111"/>
        <item x="215"/>
        <item x="184"/>
        <item x="75"/>
        <item x="102"/>
        <item x="91"/>
        <item x="19"/>
        <item x="129"/>
        <item x="30"/>
        <item x="145"/>
        <item x="73"/>
        <item x="130"/>
        <item x="187"/>
        <item x="116"/>
        <item x="48"/>
        <item x="100"/>
        <item x="112"/>
        <item x="167"/>
        <item x="124"/>
        <item x="196"/>
        <item x="152"/>
        <item x="175"/>
        <item x="166"/>
        <item x="64"/>
        <item x="8"/>
        <item x="89"/>
        <item x="192"/>
        <item x="140"/>
        <item x="209"/>
        <item x="206"/>
        <item x="72"/>
        <item x="24"/>
        <item x="159"/>
        <item x="127"/>
        <item x="208"/>
        <item x="190"/>
        <item x="67"/>
        <item x="198"/>
        <item x="99"/>
        <item x="103"/>
        <item x="164"/>
        <item x="58"/>
        <item x="57"/>
        <item x="117"/>
        <item x="181"/>
        <item x="22"/>
        <item x="151"/>
        <item x="109"/>
        <item x="31"/>
        <item x="128"/>
        <item x="62"/>
        <item x="65"/>
        <item x="44"/>
        <item x="118"/>
        <item x="42"/>
        <item x="137"/>
        <item x="50"/>
        <item x="18"/>
        <item x="94"/>
        <item x="39"/>
        <item x="54"/>
        <item x="84"/>
        <item x="123"/>
        <item x="82"/>
        <item x="23"/>
        <item x="157"/>
        <item x="74"/>
        <item x="101"/>
        <item x="110"/>
        <item x="197"/>
        <item x="20"/>
        <item x="51"/>
        <item x="149"/>
        <item x="63"/>
        <item x="182"/>
        <item x="211"/>
        <item x="28"/>
        <item x="96"/>
        <item x="5"/>
        <item x="163"/>
        <item x="132"/>
        <item x="126"/>
        <item x="107"/>
        <item x="34"/>
        <item x="68"/>
        <item x="170"/>
        <item x="32"/>
        <item x="0"/>
        <item x="194"/>
        <item x="85"/>
        <item x="17"/>
        <item x="217"/>
        <item x="120"/>
        <item x="36"/>
        <item x="49"/>
        <item x="4"/>
        <item x="12"/>
        <item x="161"/>
        <item x="77"/>
        <item x="139"/>
        <item x="14"/>
        <item x="97"/>
        <item x="15"/>
        <item x="143"/>
        <item x="134"/>
        <item x="70"/>
        <item x="6"/>
        <item x="80"/>
        <item x="214"/>
        <item x="179"/>
        <item x="162"/>
        <item x="46"/>
        <item x="146"/>
        <item x="203"/>
        <item x="136"/>
        <item x="29"/>
        <item x="119"/>
        <item x="87"/>
        <item x="210"/>
        <item x="183"/>
        <item x="69"/>
        <item x="155"/>
        <item x="83"/>
        <item x="169"/>
        <item x="16"/>
        <item x="122"/>
        <item x="88"/>
        <item x="113"/>
        <item x="59"/>
        <item x="2"/>
        <item x="173"/>
        <item x="60"/>
        <item x="79"/>
        <item x="147"/>
        <item x="3"/>
        <item x="114"/>
        <item x="56"/>
        <item x="141"/>
        <item x="144"/>
        <item x="135"/>
        <item x="86"/>
        <item x="41"/>
        <item x="47"/>
        <item x="43"/>
        <item x="98"/>
        <item x="188"/>
        <item x="172"/>
        <item x="55"/>
        <item x="105"/>
        <item x="212"/>
        <item x="104"/>
        <item x="168"/>
        <item x="133"/>
        <item x="176"/>
        <item x="154"/>
        <item x="66"/>
        <item x="178"/>
        <item x="90"/>
        <item x="138"/>
        <item x="207"/>
        <item x="61"/>
        <item x="92"/>
        <item x="76"/>
        <item x="131"/>
        <item x="204"/>
        <item x="38"/>
        <item x="71"/>
        <item x="37"/>
        <item x="156"/>
        <item x="216"/>
        <item x="11"/>
        <item t="default"/>
      </items>
    </pivotField>
    <pivotField showAll="0">
      <items count="5">
        <item x="0"/>
        <item x="3"/>
        <item x="1"/>
        <item x="2"/>
        <item t="default"/>
      </items>
    </pivotField>
    <pivotField showAll="0"/>
    <pivotField showAll="0">
      <items count="6">
        <item x="1"/>
        <item x="4"/>
        <item x="3"/>
        <item x="0"/>
        <item x="2"/>
        <item t="default"/>
      </items>
    </pivotField>
    <pivotField showAll="0">
      <items count="2">
        <item x="0"/>
        <item t="default"/>
      </items>
    </pivotField>
  </pivotFields>
  <rowFields count="1">
    <field x="2"/>
  </rowFields>
  <rowItems count="8">
    <i>
      <x/>
    </i>
    <i>
      <x v="1"/>
    </i>
    <i>
      <x v="2"/>
    </i>
    <i>
      <x v="3"/>
    </i>
    <i>
      <x v="4"/>
    </i>
    <i>
      <x v="5"/>
    </i>
    <i>
      <x v="6"/>
    </i>
    <i t="grand">
      <x/>
    </i>
  </rowItems>
  <colItems count="1">
    <i/>
  </colItems>
  <dataFields count="1">
    <dataField name="Count of Student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B7D9D7-4689-4407-A0AC-6B56FE77E0B3}" name="PivotTable3" cacheId="2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8">
    <pivotField dataField="1" showAll="0"/>
    <pivotField showAll="0">
      <items count="4">
        <item x="1"/>
        <item x="0"/>
        <item x="2"/>
        <item t="default"/>
      </items>
    </pivotField>
    <pivotField showAll="0">
      <items count="8">
        <item x="5"/>
        <item x="0"/>
        <item x="2"/>
        <item x="4"/>
        <item x="6"/>
        <item x="3"/>
        <item x="1"/>
        <item t="default"/>
      </items>
    </pivotField>
    <pivotField showAll="0">
      <items count="219">
        <item x="21"/>
        <item x="199"/>
        <item x="148"/>
        <item x="142"/>
        <item x="213"/>
        <item x="25"/>
        <item x="26"/>
        <item x="106"/>
        <item x="93"/>
        <item x="78"/>
        <item x="165"/>
        <item x="81"/>
        <item x="53"/>
        <item x="121"/>
        <item x="193"/>
        <item x="45"/>
        <item x="186"/>
        <item x="10"/>
        <item x="150"/>
        <item x="200"/>
        <item x="27"/>
        <item x="195"/>
        <item x="160"/>
        <item x="180"/>
        <item x="171"/>
        <item x="177"/>
        <item x="158"/>
        <item x="7"/>
        <item x="35"/>
        <item x="174"/>
        <item x="9"/>
        <item x="153"/>
        <item x="33"/>
        <item x="115"/>
        <item x="95"/>
        <item x="201"/>
        <item x="13"/>
        <item x="125"/>
        <item x="185"/>
        <item x="202"/>
        <item x="189"/>
        <item x="108"/>
        <item x="205"/>
        <item x="1"/>
        <item x="52"/>
        <item x="191"/>
        <item x="40"/>
        <item x="111"/>
        <item x="215"/>
        <item x="184"/>
        <item x="75"/>
        <item x="102"/>
        <item x="91"/>
        <item x="19"/>
        <item x="129"/>
        <item x="30"/>
        <item x="145"/>
        <item x="73"/>
        <item x="130"/>
        <item x="187"/>
        <item x="116"/>
        <item x="48"/>
        <item x="100"/>
        <item x="112"/>
        <item x="167"/>
        <item x="124"/>
        <item x="196"/>
        <item x="152"/>
        <item x="175"/>
        <item x="166"/>
        <item x="64"/>
        <item x="8"/>
        <item x="89"/>
        <item x="192"/>
        <item x="140"/>
        <item x="209"/>
        <item x="206"/>
        <item x="72"/>
        <item x="24"/>
        <item x="159"/>
        <item x="127"/>
        <item x="208"/>
        <item x="190"/>
        <item x="67"/>
        <item x="198"/>
        <item x="99"/>
        <item x="103"/>
        <item x="164"/>
        <item x="58"/>
        <item x="57"/>
        <item x="117"/>
        <item x="181"/>
        <item x="22"/>
        <item x="151"/>
        <item x="109"/>
        <item x="31"/>
        <item x="128"/>
        <item x="62"/>
        <item x="65"/>
        <item x="44"/>
        <item x="118"/>
        <item x="42"/>
        <item x="137"/>
        <item x="50"/>
        <item x="18"/>
        <item x="94"/>
        <item x="39"/>
        <item x="54"/>
        <item x="84"/>
        <item x="123"/>
        <item x="82"/>
        <item x="23"/>
        <item x="157"/>
        <item x="74"/>
        <item x="101"/>
        <item x="110"/>
        <item x="197"/>
        <item x="20"/>
        <item x="51"/>
        <item x="149"/>
        <item x="63"/>
        <item x="182"/>
        <item x="211"/>
        <item x="28"/>
        <item x="96"/>
        <item x="5"/>
        <item x="163"/>
        <item x="132"/>
        <item x="126"/>
        <item x="107"/>
        <item x="34"/>
        <item x="68"/>
        <item x="170"/>
        <item x="32"/>
        <item x="0"/>
        <item x="194"/>
        <item x="85"/>
        <item x="17"/>
        <item x="217"/>
        <item x="120"/>
        <item x="36"/>
        <item x="49"/>
        <item x="4"/>
        <item x="12"/>
        <item x="161"/>
        <item x="77"/>
        <item x="139"/>
        <item x="14"/>
        <item x="97"/>
        <item x="15"/>
        <item x="143"/>
        <item x="134"/>
        <item x="70"/>
        <item x="6"/>
        <item x="80"/>
        <item x="214"/>
        <item x="179"/>
        <item x="162"/>
        <item x="46"/>
        <item x="146"/>
        <item x="203"/>
        <item x="136"/>
        <item x="29"/>
        <item x="119"/>
        <item x="87"/>
        <item x="210"/>
        <item x="183"/>
        <item x="69"/>
        <item x="155"/>
        <item x="83"/>
        <item x="169"/>
        <item x="16"/>
        <item x="122"/>
        <item x="88"/>
        <item x="113"/>
        <item x="59"/>
        <item x="2"/>
        <item x="173"/>
        <item x="60"/>
        <item x="79"/>
        <item x="147"/>
        <item x="3"/>
        <item x="114"/>
        <item x="56"/>
        <item x="141"/>
        <item x="144"/>
        <item x="135"/>
        <item x="86"/>
        <item x="41"/>
        <item x="47"/>
        <item x="43"/>
        <item x="98"/>
        <item x="188"/>
        <item x="172"/>
        <item x="55"/>
        <item x="105"/>
        <item x="212"/>
        <item x="104"/>
        <item x="168"/>
        <item x="133"/>
        <item x="176"/>
        <item x="154"/>
        <item x="66"/>
        <item x="178"/>
        <item x="90"/>
        <item x="138"/>
        <item x="207"/>
        <item x="61"/>
        <item x="92"/>
        <item x="76"/>
        <item x="131"/>
        <item x="204"/>
        <item x="38"/>
        <item x="71"/>
        <item x="37"/>
        <item x="156"/>
        <item x="216"/>
        <item x="11"/>
        <item t="default"/>
      </items>
    </pivotField>
    <pivotField showAll="0">
      <items count="5">
        <item x="0"/>
        <item x="3"/>
        <item x="1"/>
        <item x="2"/>
        <item t="default"/>
      </items>
    </pivotField>
    <pivotField showAll="0"/>
    <pivotField axis="axisRow" showAll="0">
      <items count="6">
        <item x="1"/>
        <item x="4"/>
        <item x="3"/>
        <item x="0"/>
        <item x="2"/>
        <item t="default"/>
      </items>
    </pivotField>
    <pivotField showAll="0">
      <items count="2">
        <item x="0"/>
        <item t="default"/>
      </items>
    </pivotField>
  </pivotFields>
  <rowFields count="1">
    <field x="6"/>
  </rowFields>
  <rowItems count="6">
    <i>
      <x/>
    </i>
    <i>
      <x v="1"/>
    </i>
    <i>
      <x v="2"/>
    </i>
    <i>
      <x v="3"/>
    </i>
    <i>
      <x v="4"/>
    </i>
    <i t="grand">
      <x/>
    </i>
  </rowItems>
  <colItems count="1">
    <i/>
  </colItems>
  <dataFields count="1">
    <dataField name="Count of Stude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D6225F-D41C-43A0-9812-613BF633D421}" name="PivotTable4" cacheId="2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1" firstHeaderRow="1" firstDataRow="1" firstDataCol="1"/>
  <pivotFields count="8">
    <pivotField showAll="0"/>
    <pivotField showAll="0">
      <items count="4">
        <item x="1"/>
        <item x="0"/>
        <item x="2"/>
        <item t="default"/>
      </items>
    </pivotField>
    <pivotField axis="axisRow" showAll="0">
      <items count="8">
        <item x="5"/>
        <item x="0"/>
        <item x="2"/>
        <item x="4"/>
        <item x="6"/>
        <item x="3"/>
        <item x="1"/>
        <item t="default"/>
      </items>
    </pivotField>
    <pivotField showAll="0">
      <items count="219">
        <item x="21"/>
        <item x="199"/>
        <item x="148"/>
        <item x="142"/>
        <item x="213"/>
        <item x="25"/>
        <item x="26"/>
        <item x="106"/>
        <item x="93"/>
        <item x="78"/>
        <item x="165"/>
        <item x="81"/>
        <item x="53"/>
        <item x="121"/>
        <item x="193"/>
        <item x="45"/>
        <item x="186"/>
        <item x="10"/>
        <item x="150"/>
        <item x="200"/>
        <item x="27"/>
        <item x="195"/>
        <item x="160"/>
        <item x="180"/>
        <item x="171"/>
        <item x="177"/>
        <item x="158"/>
        <item x="7"/>
        <item x="35"/>
        <item x="174"/>
        <item x="9"/>
        <item x="153"/>
        <item x="33"/>
        <item x="115"/>
        <item x="95"/>
        <item x="201"/>
        <item x="13"/>
        <item x="125"/>
        <item x="185"/>
        <item x="202"/>
        <item x="189"/>
        <item x="108"/>
        <item x="205"/>
        <item x="1"/>
        <item x="52"/>
        <item x="191"/>
        <item x="40"/>
        <item x="111"/>
        <item x="215"/>
        <item x="184"/>
        <item x="75"/>
        <item x="102"/>
        <item x="91"/>
        <item x="19"/>
        <item x="129"/>
        <item x="30"/>
        <item x="145"/>
        <item x="73"/>
        <item x="130"/>
        <item x="187"/>
        <item x="116"/>
        <item x="48"/>
        <item x="100"/>
        <item x="112"/>
        <item x="167"/>
        <item x="124"/>
        <item x="196"/>
        <item x="152"/>
        <item x="175"/>
        <item x="166"/>
        <item x="64"/>
        <item x="8"/>
        <item x="89"/>
        <item x="192"/>
        <item x="140"/>
        <item x="209"/>
        <item x="206"/>
        <item x="72"/>
        <item x="24"/>
        <item x="159"/>
        <item x="127"/>
        <item x="208"/>
        <item x="190"/>
        <item x="67"/>
        <item x="198"/>
        <item x="99"/>
        <item x="103"/>
        <item x="164"/>
        <item x="58"/>
        <item x="57"/>
        <item x="117"/>
        <item x="181"/>
        <item x="22"/>
        <item x="151"/>
        <item x="109"/>
        <item x="31"/>
        <item x="128"/>
        <item x="62"/>
        <item x="65"/>
        <item x="44"/>
        <item x="118"/>
        <item x="42"/>
        <item x="137"/>
        <item x="50"/>
        <item x="18"/>
        <item x="94"/>
        <item x="39"/>
        <item x="54"/>
        <item x="84"/>
        <item x="123"/>
        <item x="82"/>
        <item x="23"/>
        <item x="157"/>
        <item x="74"/>
        <item x="101"/>
        <item x="110"/>
        <item x="197"/>
        <item x="20"/>
        <item x="51"/>
        <item x="149"/>
        <item x="63"/>
        <item x="182"/>
        <item x="211"/>
        <item x="28"/>
        <item x="96"/>
        <item x="5"/>
        <item x="163"/>
        <item x="132"/>
        <item x="126"/>
        <item x="107"/>
        <item x="34"/>
        <item x="68"/>
        <item x="170"/>
        <item x="32"/>
        <item x="0"/>
        <item x="194"/>
        <item x="85"/>
        <item x="17"/>
        <item x="217"/>
        <item x="120"/>
        <item x="36"/>
        <item x="49"/>
        <item x="4"/>
        <item x="12"/>
        <item x="161"/>
        <item x="77"/>
        <item x="139"/>
        <item x="14"/>
        <item x="97"/>
        <item x="15"/>
        <item x="143"/>
        <item x="134"/>
        <item x="70"/>
        <item x="6"/>
        <item x="80"/>
        <item x="214"/>
        <item x="179"/>
        <item x="162"/>
        <item x="46"/>
        <item x="146"/>
        <item x="203"/>
        <item x="136"/>
        <item x="29"/>
        <item x="119"/>
        <item x="87"/>
        <item x="210"/>
        <item x="183"/>
        <item x="69"/>
        <item x="155"/>
        <item x="83"/>
        <item x="169"/>
        <item x="16"/>
        <item x="122"/>
        <item x="88"/>
        <item x="113"/>
        <item x="59"/>
        <item x="2"/>
        <item x="173"/>
        <item x="60"/>
        <item x="79"/>
        <item x="147"/>
        <item x="3"/>
        <item x="114"/>
        <item x="56"/>
        <item x="141"/>
        <item x="144"/>
        <item x="135"/>
        <item x="86"/>
        <item x="41"/>
        <item x="47"/>
        <item x="43"/>
        <item x="98"/>
        <item x="188"/>
        <item x="172"/>
        <item x="55"/>
        <item x="105"/>
        <item x="212"/>
        <item x="104"/>
        <item x="168"/>
        <item x="133"/>
        <item x="176"/>
        <item x="154"/>
        <item x="66"/>
        <item x="178"/>
        <item x="90"/>
        <item x="138"/>
        <item x="207"/>
        <item x="61"/>
        <item x="92"/>
        <item x="76"/>
        <item x="131"/>
        <item x="204"/>
        <item x="38"/>
        <item x="71"/>
        <item x="37"/>
        <item x="156"/>
        <item x="216"/>
        <item x="11"/>
        <item t="default"/>
      </items>
    </pivotField>
    <pivotField showAll="0">
      <items count="5">
        <item x="0"/>
        <item x="3"/>
        <item x="1"/>
        <item x="2"/>
        <item t="default"/>
      </items>
    </pivotField>
    <pivotField dataField="1" showAll="0"/>
    <pivotField showAll="0">
      <items count="6">
        <item x="1"/>
        <item x="4"/>
        <item x="3"/>
        <item x="0"/>
        <item x="2"/>
        <item t="default"/>
      </items>
    </pivotField>
    <pivotField showAll="0">
      <items count="2">
        <item x="0"/>
        <item t="default"/>
      </items>
    </pivotField>
  </pivotFields>
  <rowFields count="1">
    <field x="2"/>
  </rowFields>
  <rowItems count="8">
    <i>
      <x/>
    </i>
    <i>
      <x v="1"/>
    </i>
    <i>
      <x v="2"/>
    </i>
    <i>
      <x v="3"/>
    </i>
    <i>
      <x v="4"/>
    </i>
    <i>
      <x v="5"/>
    </i>
    <i>
      <x v="6"/>
    </i>
    <i t="grand">
      <x/>
    </i>
  </rowItems>
  <colItems count="1">
    <i/>
  </colItems>
  <dataFields count="1">
    <dataField name="Sum of Tuition_Fee" fld="5" baseField="2" baseItem="0"/>
  </dataFields>
  <formats count="2">
    <format dxfId="180">
      <pivotArea grandRow="1" outline="0" collapsedLevelsAreSubtotals="1" fieldPosition="0"/>
    </format>
    <format dxfId="181">
      <pivotArea collapsedLevelsAreSubtotals="1" fieldPosition="0">
        <references count="1">
          <reference field="2" count="0"/>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663A6D-84B2-4612-9149-6B6ADA9C04BB}" name="PivotTable5" cacheId="2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8" firstHeaderRow="1" firstDataRow="1" firstDataCol="1"/>
  <pivotFields count="8">
    <pivotField dataField="1" showAll="0"/>
    <pivotField showAll="0">
      <items count="4">
        <item x="1"/>
        <item x="0"/>
        <item x="2"/>
        <item t="default"/>
      </items>
    </pivotField>
    <pivotField showAll="0">
      <items count="8">
        <item x="5"/>
        <item x="0"/>
        <item x="2"/>
        <item x="4"/>
        <item x="6"/>
        <item x="3"/>
        <item x="1"/>
        <item t="default"/>
      </items>
    </pivotField>
    <pivotField showAll="0">
      <items count="219">
        <item x="21"/>
        <item x="199"/>
        <item x="148"/>
        <item x="142"/>
        <item x="213"/>
        <item x="25"/>
        <item x="26"/>
        <item x="106"/>
        <item x="93"/>
        <item x="78"/>
        <item x="165"/>
        <item x="81"/>
        <item x="53"/>
        <item x="121"/>
        <item x="193"/>
        <item x="45"/>
        <item x="186"/>
        <item x="10"/>
        <item x="150"/>
        <item x="200"/>
        <item x="27"/>
        <item x="195"/>
        <item x="160"/>
        <item x="180"/>
        <item x="171"/>
        <item x="177"/>
        <item x="158"/>
        <item x="7"/>
        <item x="35"/>
        <item x="174"/>
        <item x="9"/>
        <item x="153"/>
        <item x="33"/>
        <item x="115"/>
        <item x="95"/>
        <item x="201"/>
        <item x="13"/>
        <item x="125"/>
        <item x="185"/>
        <item x="202"/>
        <item x="189"/>
        <item x="108"/>
        <item x="205"/>
        <item x="1"/>
        <item x="52"/>
        <item x="191"/>
        <item x="40"/>
        <item x="111"/>
        <item x="215"/>
        <item x="184"/>
        <item x="75"/>
        <item x="102"/>
        <item x="91"/>
        <item x="19"/>
        <item x="129"/>
        <item x="30"/>
        <item x="145"/>
        <item x="73"/>
        <item x="130"/>
        <item x="187"/>
        <item x="116"/>
        <item x="48"/>
        <item x="100"/>
        <item x="112"/>
        <item x="167"/>
        <item x="124"/>
        <item x="196"/>
        <item x="152"/>
        <item x="175"/>
        <item x="166"/>
        <item x="64"/>
        <item x="8"/>
        <item x="89"/>
        <item x="192"/>
        <item x="140"/>
        <item x="209"/>
        <item x="206"/>
        <item x="72"/>
        <item x="24"/>
        <item x="159"/>
        <item x="127"/>
        <item x="208"/>
        <item x="190"/>
        <item x="67"/>
        <item x="198"/>
        <item x="99"/>
        <item x="103"/>
        <item x="164"/>
        <item x="58"/>
        <item x="57"/>
        <item x="117"/>
        <item x="181"/>
        <item x="22"/>
        <item x="151"/>
        <item x="109"/>
        <item x="31"/>
        <item x="128"/>
        <item x="62"/>
        <item x="65"/>
        <item x="44"/>
        <item x="118"/>
        <item x="42"/>
        <item x="137"/>
        <item x="50"/>
        <item x="18"/>
        <item x="94"/>
        <item x="39"/>
        <item x="54"/>
        <item x="84"/>
        <item x="123"/>
        <item x="82"/>
        <item x="23"/>
        <item x="157"/>
        <item x="74"/>
        <item x="101"/>
        <item x="110"/>
        <item x="197"/>
        <item x="20"/>
        <item x="51"/>
        <item x="149"/>
        <item x="63"/>
        <item x="182"/>
        <item x="211"/>
        <item x="28"/>
        <item x="96"/>
        <item x="5"/>
        <item x="163"/>
        <item x="132"/>
        <item x="126"/>
        <item x="107"/>
        <item x="34"/>
        <item x="68"/>
        <item x="170"/>
        <item x="32"/>
        <item x="0"/>
        <item x="194"/>
        <item x="85"/>
        <item x="17"/>
        <item x="217"/>
        <item x="120"/>
        <item x="36"/>
        <item x="49"/>
        <item x="4"/>
        <item x="12"/>
        <item x="161"/>
        <item x="77"/>
        <item x="139"/>
        <item x="14"/>
        <item x="97"/>
        <item x="15"/>
        <item x="143"/>
        <item x="134"/>
        <item x="70"/>
        <item x="6"/>
        <item x="80"/>
        <item x="214"/>
        <item x="179"/>
        <item x="162"/>
        <item x="46"/>
        <item x="146"/>
        <item x="203"/>
        <item x="136"/>
        <item x="29"/>
        <item x="119"/>
        <item x="87"/>
        <item x="210"/>
        <item x="183"/>
        <item x="69"/>
        <item x="155"/>
        <item x="83"/>
        <item x="169"/>
        <item x="16"/>
        <item x="122"/>
        <item x="88"/>
        <item x="113"/>
        <item x="59"/>
        <item x="2"/>
        <item x="173"/>
        <item x="60"/>
        <item x="79"/>
        <item x="147"/>
        <item x="3"/>
        <item x="114"/>
        <item x="56"/>
        <item x="141"/>
        <item x="144"/>
        <item x="135"/>
        <item x="86"/>
        <item x="41"/>
        <item x="47"/>
        <item x="43"/>
        <item x="98"/>
        <item x="188"/>
        <item x="172"/>
        <item x="55"/>
        <item x="105"/>
        <item x="212"/>
        <item x="104"/>
        <item x="168"/>
        <item x="133"/>
        <item x="176"/>
        <item x="154"/>
        <item x="66"/>
        <item x="178"/>
        <item x="90"/>
        <item x="138"/>
        <item x="207"/>
        <item x="61"/>
        <item x="92"/>
        <item x="76"/>
        <item x="131"/>
        <item x="204"/>
        <item x="38"/>
        <item x="71"/>
        <item x="37"/>
        <item x="156"/>
        <item x="216"/>
        <item x="11"/>
        <item t="default"/>
      </items>
    </pivotField>
    <pivotField axis="axisRow" showAll="0">
      <items count="5">
        <item x="0"/>
        <item x="3"/>
        <item x="1"/>
        <item x="2"/>
        <item t="default"/>
      </items>
    </pivotField>
    <pivotField showAll="0"/>
    <pivotField showAll="0">
      <items count="6">
        <item x="1"/>
        <item x="4"/>
        <item x="3"/>
        <item x="0"/>
        <item x="2"/>
        <item t="default"/>
      </items>
    </pivotField>
    <pivotField showAll="0">
      <items count="2">
        <item x="0"/>
        <item t="default"/>
      </items>
    </pivotField>
  </pivotFields>
  <rowFields count="1">
    <field x="4"/>
  </rowFields>
  <rowItems count="5">
    <i>
      <x/>
    </i>
    <i>
      <x v="1"/>
    </i>
    <i>
      <x v="2"/>
    </i>
    <i>
      <x v="3"/>
    </i>
    <i t="grand">
      <x/>
    </i>
  </rowItems>
  <colItems count="1">
    <i/>
  </colItems>
  <dataFields count="1">
    <dataField name="Count of Student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866A5EF-69E4-466B-B382-78858129BBCA}" name="PivotTable17" cacheId="26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3:B14"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Student_ID" fld="1" subtotal="count"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Project_Datasets_23_Assigned_Students_MORE_BLANKS_Abba_Muxidiin_Enrollment22222333.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D27344D-68D7-4F5B-8625-E2B712C36848}" name="PivotTable20" cacheId="2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8">
    <pivotField showAll="0"/>
    <pivotField showAll="0">
      <items count="4">
        <item x="1"/>
        <item x="0"/>
        <item x="2"/>
        <item t="default"/>
      </items>
    </pivotField>
    <pivotField showAll="0">
      <items count="8">
        <item x="5"/>
        <item x="0"/>
        <item x="2"/>
        <item x="4"/>
        <item x="6"/>
        <item x="3"/>
        <item x="1"/>
        <item t="default"/>
      </items>
    </pivotField>
    <pivotField showAll="0">
      <items count="219">
        <item x="21"/>
        <item x="199"/>
        <item x="148"/>
        <item x="142"/>
        <item x="213"/>
        <item x="25"/>
        <item x="26"/>
        <item x="106"/>
        <item x="93"/>
        <item x="78"/>
        <item x="165"/>
        <item x="81"/>
        <item x="53"/>
        <item x="121"/>
        <item x="193"/>
        <item x="45"/>
        <item x="186"/>
        <item x="10"/>
        <item x="150"/>
        <item x="200"/>
        <item x="27"/>
        <item x="195"/>
        <item x="160"/>
        <item x="180"/>
        <item x="171"/>
        <item x="177"/>
        <item x="158"/>
        <item x="7"/>
        <item x="35"/>
        <item x="174"/>
        <item x="9"/>
        <item x="153"/>
        <item x="33"/>
        <item x="115"/>
        <item x="95"/>
        <item x="201"/>
        <item x="13"/>
        <item x="125"/>
        <item x="185"/>
        <item x="202"/>
        <item x="189"/>
        <item x="108"/>
        <item x="205"/>
        <item x="1"/>
        <item x="52"/>
        <item x="191"/>
        <item x="40"/>
        <item x="111"/>
        <item x="215"/>
        <item x="184"/>
        <item x="75"/>
        <item x="102"/>
        <item x="91"/>
        <item x="19"/>
        <item x="129"/>
        <item x="30"/>
        <item x="145"/>
        <item x="73"/>
        <item x="130"/>
        <item x="187"/>
        <item x="116"/>
        <item x="48"/>
        <item x="100"/>
        <item x="112"/>
        <item x="167"/>
        <item x="124"/>
        <item x="196"/>
        <item x="152"/>
        <item x="175"/>
        <item x="166"/>
        <item x="64"/>
        <item x="8"/>
        <item x="89"/>
        <item x="192"/>
        <item x="140"/>
        <item x="209"/>
        <item x="206"/>
        <item x="72"/>
        <item x="24"/>
        <item x="159"/>
        <item x="127"/>
        <item x="208"/>
        <item x="190"/>
        <item x="67"/>
        <item x="198"/>
        <item x="99"/>
        <item x="103"/>
        <item x="164"/>
        <item x="58"/>
        <item x="57"/>
        <item x="117"/>
        <item x="181"/>
        <item x="22"/>
        <item x="151"/>
        <item x="109"/>
        <item x="31"/>
        <item x="128"/>
        <item x="62"/>
        <item x="65"/>
        <item x="44"/>
        <item x="118"/>
        <item x="42"/>
        <item x="137"/>
        <item x="50"/>
        <item x="18"/>
        <item x="94"/>
        <item x="39"/>
        <item x="54"/>
        <item x="84"/>
        <item x="123"/>
        <item x="82"/>
        <item x="23"/>
        <item x="157"/>
        <item x="74"/>
        <item x="101"/>
        <item x="110"/>
        <item x="197"/>
        <item x="20"/>
        <item x="51"/>
        <item x="149"/>
        <item x="63"/>
        <item x="182"/>
        <item x="211"/>
        <item x="28"/>
        <item x="96"/>
        <item x="5"/>
        <item x="163"/>
        <item x="132"/>
        <item x="126"/>
        <item x="107"/>
        <item x="34"/>
        <item x="68"/>
        <item x="170"/>
        <item x="32"/>
        <item x="0"/>
        <item x="194"/>
        <item x="85"/>
        <item x="17"/>
        <item x="217"/>
        <item x="120"/>
        <item x="36"/>
        <item x="49"/>
        <item x="4"/>
        <item x="12"/>
        <item x="161"/>
        <item x="77"/>
        <item x="139"/>
        <item x="14"/>
        <item x="97"/>
        <item x="15"/>
        <item x="143"/>
        <item x="134"/>
        <item x="70"/>
        <item x="6"/>
        <item x="80"/>
        <item x="214"/>
        <item x="179"/>
        <item x="162"/>
        <item x="46"/>
        <item x="146"/>
        <item x="203"/>
        <item x="136"/>
        <item x="29"/>
        <item x="119"/>
        <item x="87"/>
        <item x="210"/>
        <item x="183"/>
        <item x="69"/>
        <item x="155"/>
        <item x="83"/>
        <item x="169"/>
        <item x="16"/>
        <item x="122"/>
        <item x="88"/>
        <item x="113"/>
        <item x="59"/>
        <item x="2"/>
        <item x="173"/>
        <item x="60"/>
        <item x="79"/>
        <item x="147"/>
        <item x="3"/>
        <item x="114"/>
        <item x="56"/>
        <item x="141"/>
        <item x="144"/>
        <item x="135"/>
        <item x="86"/>
        <item x="41"/>
        <item x="47"/>
        <item x="43"/>
        <item x="98"/>
        <item x="188"/>
        <item x="172"/>
        <item x="55"/>
        <item x="105"/>
        <item x="212"/>
        <item x="104"/>
        <item x="168"/>
        <item x="133"/>
        <item x="176"/>
        <item x="154"/>
        <item x="66"/>
        <item x="178"/>
        <item x="90"/>
        <item x="138"/>
        <item x="207"/>
        <item x="61"/>
        <item x="92"/>
        <item x="76"/>
        <item x="131"/>
        <item x="204"/>
        <item x="38"/>
        <item x="71"/>
        <item x="37"/>
        <item x="156"/>
        <item x="216"/>
        <item x="11"/>
        <item t="default"/>
      </items>
    </pivotField>
    <pivotField showAll="0">
      <items count="5">
        <item x="0"/>
        <item x="3"/>
        <item x="1"/>
        <item x="2"/>
        <item t="default"/>
      </items>
    </pivotField>
    <pivotField dataField="1" showAll="0"/>
    <pivotField axis="axisRow" showAll="0">
      <items count="6">
        <item x="1"/>
        <item x="4"/>
        <item x="3"/>
        <item x="0"/>
        <item x="2"/>
        <item t="default"/>
      </items>
    </pivotField>
    <pivotField showAll="0">
      <items count="2">
        <item x="0"/>
        <item t="default"/>
      </items>
    </pivotField>
  </pivotFields>
  <rowFields count="1">
    <field x="6"/>
  </rowFields>
  <rowItems count="6">
    <i>
      <x/>
    </i>
    <i>
      <x v="1"/>
    </i>
    <i>
      <x v="2"/>
    </i>
    <i>
      <x v="3"/>
    </i>
    <i>
      <x v="4"/>
    </i>
    <i t="grand">
      <x/>
    </i>
  </rowItems>
  <colItems count="1">
    <i/>
  </colItems>
  <dataFields count="1">
    <dataField name="Count of Tuition_Fee" fld="5" subtotal="count" baseField="6" baseItem="0"/>
  </dataFields>
  <formats count="1">
    <format dxfId="179">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AAAF562-65FD-474E-9CD9-CD58A564D55D}" name="PivotTable21" cacheId="2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21" firstHeaderRow="1" firstDataRow="1" firstDataCol="1"/>
  <pivotFields count="8">
    <pivotField showAll="0"/>
    <pivotField showAll="0">
      <items count="4">
        <item x="1"/>
        <item x="0"/>
        <item x="2"/>
        <item t="default"/>
      </items>
    </pivotField>
    <pivotField showAll="0">
      <items count="8">
        <item x="5"/>
        <item x="0"/>
        <item x="2"/>
        <item x="4"/>
        <item x="6"/>
        <item x="3"/>
        <item x="1"/>
        <item t="default"/>
      </items>
    </pivotField>
    <pivotField axis="axisRow" showAll="0">
      <items count="219">
        <item h="1" x="21"/>
        <item x="199"/>
        <item x="148"/>
        <item x="142"/>
        <item x="213"/>
        <item x="25"/>
        <item x="26"/>
        <item x="106"/>
        <item x="93"/>
        <item x="78"/>
        <item x="165"/>
        <item x="81"/>
        <item x="53"/>
        <item x="121"/>
        <item x="193"/>
        <item x="45"/>
        <item x="186"/>
        <item x="10"/>
        <item x="150"/>
        <item x="200"/>
        <item x="27"/>
        <item x="195"/>
        <item x="160"/>
        <item x="180"/>
        <item x="171"/>
        <item x="177"/>
        <item x="158"/>
        <item x="7"/>
        <item x="35"/>
        <item x="174"/>
        <item x="9"/>
        <item x="153"/>
        <item x="33"/>
        <item x="115"/>
        <item x="95"/>
        <item x="201"/>
        <item x="13"/>
        <item x="125"/>
        <item x="185"/>
        <item x="202"/>
        <item x="189"/>
        <item x="108"/>
        <item x="205"/>
        <item x="1"/>
        <item x="52"/>
        <item x="191"/>
        <item x="40"/>
        <item x="111"/>
        <item x="215"/>
        <item x="184"/>
        <item x="75"/>
        <item x="102"/>
        <item x="91"/>
        <item x="19"/>
        <item x="129"/>
        <item x="30"/>
        <item x="145"/>
        <item x="73"/>
        <item x="130"/>
        <item x="187"/>
        <item x="116"/>
        <item x="48"/>
        <item x="100"/>
        <item x="112"/>
        <item x="167"/>
        <item x="124"/>
        <item x="196"/>
        <item x="152"/>
        <item x="175"/>
        <item x="166"/>
        <item x="64"/>
        <item x="8"/>
        <item x="89"/>
        <item x="192"/>
        <item x="140"/>
        <item x="209"/>
        <item x="206"/>
        <item x="72"/>
        <item x="24"/>
        <item x="159"/>
        <item x="127"/>
        <item x="208"/>
        <item x="190"/>
        <item x="67"/>
        <item x="198"/>
        <item x="99"/>
        <item x="103"/>
        <item x="164"/>
        <item x="58"/>
        <item x="57"/>
        <item x="117"/>
        <item x="181"/>
        <item x="22"/>
        <item x="151"/>
        <item x="109"/>
        <item x="31"/>
        <item x="128"/>
        <item x="62"/>
        <item x="65"/>
        <item x="44"/>
        <item x="118"/>
        <item x="42"/>
        <item x="137"/>
        <item x="50"/>
        <item x="18"/>
        <item x="94"/>
        <item x="39"/>
        <item x="54"/>
        <item x="84"/>
        <item x="123"/>
        <item x="82"/>
        <item x="23"/>
        <item x="157"/>
        <item x="74"/>
        <item x="101"/>
        <item x="110"/>
        <item x="197"/>
        <item x="20"/>
        <item x="51"/>
        <item x="149"/>
        <item x="63"/>
        <item x="182"/>
        <item x="211"/>
        <item x="28"/>
        <item x="96"/>
        <item x="5"/>
        <item x="163"/>
        <item x="132"/>
        <item x="126"/>
        <item x="107"/>
        <item x="34"/>
        <item x="68"/>
        <item x="170"/>
        <item x="32"/>
        <item x="0"/>
        <item x="194"/>
        <item x="85"/>
        <item x="17"/>
        <item x="217"/>
        <item x="120"/>
        <item x="36"/>
        <item x="49"/>
        <item x="4"/>
        <item x="12"/>
        <item x="161"/>
        <item x="77"/>
        <item x="139"/>
        <item x="14"/>
        <item x="97"/>
        <item x="15"/>
        <item x="143"/>
        <item x="134"/>
        <item x="70"/>
        <item x="6"/>
        <item x="80"/>
        <item x="214"/>
        <item x="179"/>
        <item x="162"/>
        <item x="46"/>
        <item x="146"/>
        <item x="203"/>
        <item x="136"/>
        <item x="29"/>
        <item x="119"/>
        <item x="87"/>
        <item x="210"/>
        <item x="183"/>
        <item x="69"/>
        <item x="155"/>
        <item x="83"/>
        <item x="169"/>
        <item x="16"/>
        <item x="122"/>
        <item x="88"/>
        <item x="113"/>
        <item x="59"/>
        <item x="2"/>
        <item x="173"/>
        <item x="60"/>
        <item x="79"/>
        <item x="147"/>
        <item x="3"/>
        <item x="114"/>
        <item x="56"/>
        <item x="141"/>
        <item x="144"/>
        <item x="135"/>
        <item x="86"/>
        <item x="41"/>
        <item x="47"/>
        <item x="43"/>
        <item x="98"/>
        <item x="188"/>
        <item x="172"/>
        <item x="55"/>
        <item x="105"/>
        <item x="212"/>
        <item x="104"/>
        <item x="168"/>
        <item x="133"/>
        <item x="176"/>
        <item x="154"/>
        <item x="66"/>
        <item x="178"/>
        <item x="90"/>
        <item x="138"/>
        <item x="207"/>
        <item x="61"/>
        <item x="92"/>
        <item x="76"/>
        <item x="131"/>
        <item x="204"/>
        <item x="38"/>
        <item x="71"/>
        <item x="37"/>
        <item x="156"/>
        <item x="216"/>
        <item x="11"/>
        <item t="default"/>
      </items>
    </pivotField>
    <pivotField showAll="0">
      <items count="5">
        <item x="0"/>
        <item x="3"/>
        <item x="1"/>
        <item x="2"/>
        <item t="default"/>
      </items>
    </pivotField>
    <pivotField dataField="1" showAll="0"/>
    <pivotField showAll="0">
      <items count="6">
        <item x="1"/>
        <item x="4"/>
        <item x="3"/>
        <item x="0"/>
        <item x="2"/>
        <item t="default"/>
      </items>
    </pivotField>
    <pivotField showAll="0">
      <items count="2">
        <item x="0"/>
        <item t="default"/>
      </items>
    </pivotField>
  </pivotFields>
  <rowFields count="1">
    <field x="3"/>
  </rowFields>
  <rowItems count="218">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t="grand">
      <x/>
    </i>
  </rowItems>
  <colItems count="1">
    <i/>
  </colItems>
  <dataFields count="1">
    <dataField name="Sum of Tuition_Fee" fld="5" baseField="0" baseItem="0"/>
  </dataFields>
  <formats count="2">
    <format dxfId="177">
      <pivotArea grandRow="1" outline="0" collapsedLevelsAreSubtotals="1" fieldPosition="0"/>
    </format>
    <format dxfId="178">
      <pivotArea collapsedLevelsAreSubtotals="1" fieldPosition="0">
        <references count="1">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19A2535-BB12-41F2-98F0-7EA0F97F5CEE}" name="PivotTable24" cacheId="2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8">
    <pivotField showAll="0"/>
    <pivotField showAll="0">
      <items count="4">
        <item x="1"/>
        <item x="0"/>
        <item x="2"/>
        <item t="default"/>
      </items>
    </pivotField>
    <pivotField showAll="0">
      <items count="8">
        <item x="5"/>
        <item x="0"/>
        <item x="2"/>
        <item x="4"/>
        <item x="6"/>
        <item x="3"/>
        <item x="1"/>
        <item t="default"/>
      </items>
    </pivotField>
    <pivotField showAll="0">
      <items count="219">
        <item x="21"/>
        <item x="199"/>
        <item x="148"/>
        <item x="142"/>
        <item x="213"/>
        <item x="25"/>
        <item x="26"/>
        <item x="106"/>
        <item x="93"/>
        <item x="78"/>
        <item x="165"/>
        <item x="81"/>
        <item x="53"/>
        <item x="121"/>
        <item x="193"/>
        <item x="45"/>
        <item x="186"/>
        <item x="10"/>
        <item x="150"/>
        <item x="200"/>
        <item x="27"/>
        <item x="195"/>
        <item x="160"/>
        <item x="180"/>
        <item x="171"/>
        <item x="177"/>
        <item x="158"/>
        <item x="7"/>
        <item x="35"/>
        <item x="174"/>
        <item x="9"/>
        <item x="153"/>
        <item x="33"/>
        <item x="115"/>
        <item x="95"/>
        <item x="201"/>
        <item x="13"/>
        <item x="125"/>
        <item x="185"/>
        <item x="202"/>
        <item x="189"/>
        <item x="108"/>
        <item x="205"/>
        <item x="1"/>
        <item x="52"/>
        <item x="191"/>
        <item x="40"/>
        <item x="111"/>
        <item x="215"/>
        <item x="184"/>
        <item x="75"/>
        <item x="102"/>
        <item x="91"/>
        <item x="19"/>
        <item x="129"/>
        <item x="30"/>
        <item x="145"/>
        <item x="73"/>
        <item x="130"/>
        <item x="187"/>
        <item x="116"/>
        <item x="48"/>
        <item x="100"/>
        <item x="112"/>
        <item x="167"/>
        <item x="124"/>
        <item x="196"/>
        <item x="152"/>
        <item x="175"/>
        <item x="166"/>
        <item x="64"/>
        <item x="8"/>
        <item x="89"/>
        <item x="192"/>
        <item x="140"/>
        <item x="209"/>
        <item x="206"/>
        <item x="72"/>
        <item x="24"/>
        <item x="159"/>
        <item x="127"/>
        <item x="208"/>
        <item x="190"/>
        <item x="67"/>
        <item x="198"/>
        <item x="99"/>
        <item x="103"/>
        <item x="164"/>
        <item x="58"/>
        <item x="57"/>
        <item x="117"/>
        <item x="181"/>
        <item x="22"/>
        <item x="151"/>
        <item x="109"/>
        <item x="31"/>
        <item x="128"/>
        <item x="62"/>
        <item x="65"/>
        <item x="44"/>
        <item x="118"/>
        <item x="42"/>
        <item x="137"/>
        <item x="50"/>
        <item x="18"/>
        <item x="94"/>
        <item x="39"/>
        <item x="54"/>
        <item x="84"/>
        <item x="123"/>
        <item x="82"/>
        <item x="23"/>
        <item x="157"/>
        <item x="74"/>
        <item x="101"/>
        <item x="110"/>
        <item x="197"/>
        <item x="20"/>
        <item x="51"/>
        <item x="149"/>
        <item x="63"/>
        <item x="182"/>
        <item x="211"/>
        <item x="28"/>
        <item x="96"/>
        <item x="5"/>
        <item x="163"/>
        <item x="132"/>
        <item x="126"/>
        <item x="107"/>
        <item x="34"/>
        <item x="68"/>
        <item x="170"/>
        <item x="32"/>
        <item x="0"/>
        <item x="194"/>
        <item x="85"/>
        <item x="17"/>
        <item x="217"/>
        <item x="120"/>
        <item x="36"/>
        <item x="49"/>
        <item x="4"/>
        <item x="12"/>
        <item x="161"/>
        <item x="77"/>
        <item x="139"/>
        <item x="14"/>
        <item x="97"/>
        <item x="15"/>
        <item x="143"/>
        <item x="134"/>
        <item x="70"/>
        <item x="6"/>
        <item x="80"/>
        <item x="214"/>
        <item x="179"/>
        <item x="162"/>
        <item x="46"/>
        <item x="146"/>
        <item x="203"/>
        <item x="136"/>
        <item x="29"/>
        <item x="119"/>
        <item x="87"/>
        <item x="210"/>
        <item x="183"/>
        <item x="69"/>
        <item x="155"/>
        <item x="83"/>
        <item x="169"/>
        <item x="16"/>
        <item x="122"/>
        <item x="88"/>
        <item x="113"/>
        <item x="59"/>
        <item x="2"/>
        <item x="173"/>
        <item x="60"/>
        <item x="79"/>
        <item x="147"/>
        <item x="3"/>
        <item x="114"/>
        <item x="56"/>
        <item x="141"/>
        <item x="144"/>
        <item x="135"/>
        <item x="86"/>
        <item x="41"/>
        <item x="47"/>
        <item x="43"/>
        <item x="98"/>
        <item x="188"/>
        <item x="172"/>
        <item x="55"/>
        <item x="105"/>
        <item x="212"/>
        <item x="104"/>
        <item x="168"/>
        <item x="133"/>
        <item x="176"/>
        <item x="154"/>
        <item x="66"/>
        <item x="178"/>
        <item x="90"/>
        <item x="138"/>
        <item x="207"/>
        <item x="61"/>
        <item x="92"/>
        <item x="76"/>
        <item x="131"/>
        <item x="204"/>
        <item x="38"/>
        <item x="71"/>
        <item x="37"/>
        <item x="156"/>
        <item x="216"/>
        <item x="11"/>
        <item t="default"/>
      </items>
    </pivotField>
    <pivotField showAll="0">
      <items count="5">
        <item x="0"/>
        <item x="3"/>
        <item x="1"/>
        <item x="2"/>
        <item t="default"/>
      </items>
    </pivotField>
    <pivotField dataField="1" showAll="0"/>
    <pivotField axis="axisRow" showAll="0">
      <items count="6">
        <item x="1"/>
        <item x="4"/>
        <item x="3"/>
        <item x="0"/>
        <item x="2"/>
        <item t="default"/>
      </items>
    </pivotField>
    <pivotField showAll="0">
      <items count="2">
        <item x="0"/>
        <item t="default"/>
      </items>
    </pivotField>
  </pivotFields>
  <rowFields count="1">
    <field x="6"/>
  </rowFields>
  <rowItems count="6">
    <i>
      <x/>
    </i>
    <i>
      <x v="1"/>
    </i>
    <i>
      <x v="2"/>
    </i>
    <i>
      <x v="3"/>
    </i>
    <i>
      <x v="4"/>
    </i>
    <i t="grand">
      <x/>
    </i>
  </rowItems>
  <colItems count="1">
    <i/>
  </colItems>
  <dataFields count="1">
    <dataField name="Average of Tuition_Fee" fld="5" subtotal="average" baseField="6" baseItem="0" numFmtId="44"/>
  </dataFields>
  <formats count="3">
    <format dxfId="174">
      <pivotArea outline="0" collapsedLevelsAreSubtotals="1" fieldPosition="0"/>
    </format>
    <format dxfId="175">
      <pivotArea collapsedLevelsAreSubtotals="1" fieldPosition="0">
        <references count="1">
          <reference field="6" count="1">
            <x v="0"/>
          </reference>
        </references>
      </pivotArea>
    </format>
    <format dxfId="176">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694263F-E13F-4BE7-B623-C0654FA503F5}" name="PivotTable27" cacheId="26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B13" firstHeaderRow="1" firstDataRow="1" firstDataCol="1"/>
  <pivotFields count="3">
    <pivotField axis="axisRow" allDrilled="1" subtotalTop="0" showAll="0" dataSourceSort="1" defaultSubtotal="0" defaultAttributeDrillState="1">
      <items count="9">
        <item s="1" x="0"/>
        <item s="1" x="1"/>
        <item s="1" x="2"/>
        <item s="1" x="3"/>
        <item s="1" x="4"/>
        <item s="1" x="5"/>
        <item s="1" x="6"/>
        <item s="1" x="7"/>
        <item s="1"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Count of Tuition_Fee" fld="1" subtotal="count" baseField="0" baseItem="0"/>
  </dataFields>
  <pivotHierarchies count="1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Project_Datasets_23_Assigned_Students_MORE_BLANKS_Abba_Muxidiin_Enrollment22222333.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47A25A6-618E-4956-84E6-190415A1182D}" name="PivotTable28" cacheId="2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8">
    <pivotField showAll="0"/>
    <pivotField showAll="0">
      <items count="4">
        <item x="1"/>
        <item x="0"/>
        <item x="2"/>
        <item t="default"/>
      </items>
    </pivotField>
    <pivotField showAll="0">
      <items count="8">
        <item x="5"/>
        <item x="0"/>
        <item x="2"/>
        <item x="4"/>
        <item x="6"/>
        <item x="3"/>
        <item x="1"/>
        <item t="default"/>
      </items>
    </pivotField>
    <pivotField showAll="0">
      <items count="219">
        <item x="21"/>
        <item x="199"/>
        <item x="148"/>
        <item x="142"/>
        <item x="213"/>
        <item x="25"/>
        <item x="26"/>
        <item x="106"/>
        <item x="93"/>
        <item x="78"/>
        <item x="165"/>
        <item x="81"/>
        <item x="53"/>
        <item x="121"/>
        <item x="193"/>
        <item x="45"/>
        <item x="186"/>
        <item x="10"/>
        <item x="150"/>
        <item x="200"/>
        <item x="27"/>
        <item x="195"/>
        <item x="160"/>
        <item x="180"/>
        <item x="171"/>
        <item x="177"/>
        <item x="158"/>
        <item x="7"/>
        <item x="35"/>
        <item x="174"/>
        <item x="9"/>
        <item x="153"/>
        <item x="33"/>
        <item x="115"/>
        <item x="95"/>
        <item x="201"/>
        <item x="13"/>
        <item x="125"/>
        <item x="185"/>
        <item x="202"/>
        <item x="189"/>
        <item x="108"/>
        <item x="205"/>
        <item x="1"/>
        <item x="52"/>
        <item x="191"/>
        <item x="40"/>
        <item x="111"/>
        <item x="215"/>
        <item x="184"/>
        <item x="75"/>
        <item x="102"/>
        <item x="91"/>
        <item x="19"/>
        <item x="129"/>
        <item x="30"/>
        <item x="145"/>
        <item x="73"/>
        <item x="130"/>
        <item x="187"/>
        <item x="116"/>
        <item x="48"/>
        <item x="100"/>
        <item x="112"/>
        <item x="167"/>
        <item x="124"/>
        <item x="196"/>
        <item x="152"/>
        <item x="175"/>
        <item x="166"/>
        <item x="64"/>
        <item x="8"/>
        <item x="89"/>
        <item x="192"/>
        <item x="140"/>
        <item x="209"/>
        <item x="206"/>
        <item x="72"/>
        <item x="24"/>
        <item x="159"/>
        <item x="127"/>
        <item x="208"/>
        <item x="190"/>
        <item x="67"/>
        <item x="198"/>
        <item x="99"/>
        <item x="103"/>
        <item x="164"/>
        <item x="58"/>
        <item x="57"/>
        <item x="117"/>
        <item x="181"/>
        <item x="22"/>
        <item x="151"/>
        <item x="109"/>
        <item x="31"/>
        <item x="128"/>
        <item x="62"/>
        <item x="65"/>
        <item x="44"/>
        <item x="118"/>
        <item x="42"/>
        <item x="137"/>
        <item x="50"/>
        <item x="18"/>
        <item x="94"/>
        <item x="39"/>
        <item x="54"/>
        <item x="84"/>
        <item x="123"/>
        <item x="82"/>
        <item x="23"/>
        <item x="157"/>
        <item x="74"/>
        <item x="101"/>
        <item x="110"/>
        <item x="197"/>
        <item x="20"/>
        <item x="51"/>
        <item x="149"/>
        <item x="63"/>
        <item x="182"/>
        <item x="211"/>
        <item x="28"/>
        <item x="96"/>
        <item x="5"/>
        <item x="163"/>
        <item x="132"/>
        <item x="126"/>
        <item x="107"/>
        <item x="34"/>
        <item x="68"/>
        <item x="170"/>
        <item x="32"/>
        <item x="0"/>
        <item x="194"/>
        <item x="85"/>
        <item x="17"/>
        <item x="217"/>
        <item x="120"/>
        <item x="36"/>
        <item x="49"/>
        <item x="4"/>
        <item x="12"/>
        <item x="161"/>
        <item x="77"/>
        <item x="139"/>
        <item x="14"/>
        <item x="97"/>
        <item x="15"/>
        <item x="143"/>
        <item x="134"/>
        <item x="70"/>
        <item x="6"/>
        <item x="80"/>
        <item x="214"/>
        <item x="179"/>
        <item x="162"/>
        <item x="46"/>
        <item x="146"/>
        <item x="203"/>
        <item x="136"/>
        <item x="29"/>
        <item x="119"/>
        <item x="87"/>
        <item x="210"/>
        <item x="183"/>
        <item x="69"/>
        <item x="155"/>
        <item x="83"/>
        <item x="169"/>
        <item x="16"/>
        <item x="122"/>
        <item x="88"/>
        <item x="113"/>
        <item x="59"/>
        <item x="2"/>
        <item x="173"/>
        <item x="60"/>
        <item x="79"/>
        <item x="147"/>
        <item x="3"/>
        <item x="114"/>
        <item x="56"/>
        <item x="141"/>
        <item x="144"/>
        <item x="135"/>
        <item x="86"/>
        <item x="41"/>
        <item x="47"/>
        <item x="43"/>
        <item x="98"/>
        <item x="188"/>
        <item x="172"/>
        <item x="55"/>
        <item x="105"/>
        <item x="212"/>
        <item x="104"/>
        <item x="168"/>
        <item x="133"/>
        <item x="176"/>
        <item x="154"/>
        <item x="66"/>
        <item x="178"/>
        <item x="90"/>
        <item x="138"/>
        <item x="207"/>
        <item x="61"/>
        <item x="92"/>
        <item x="76"/>
        <item x="131"/>
        <item x="204"/>
        <item x="38"/>
        <item x="71"/>
        <item x="37"/>
        <item x="156"/>
        <item x="216"/>
        <item x="11"/>
        <item t="default"/>
      </items>
    </pivotField>
    <pivotField axis="axisRow" showAll="0">
      <items count="5">
        <item x="0"/>
        <item x="3"/>
        <item x="1"/>
        <item x="2"/>
        <item t="default"/>
      </items>
    </pivotField>
    <pivotField dataField="1" showAll="0"/>
    <pivotField showAll="0">
      <items count="6">
        <item x="1"/>
        <item x="4"/>
        <item x="3"/>
        <item x="0"/>
        <item x="2"/>
        <item t="default"/>
      </items>
    </pivotField>
    <pivotField showAll="0" defaultSubtotal="0">
      <items count="1">
        <item x="0"/>
      </items>
    </pivotField>
  </pivotFields>
  <rowFields count="1">
    <field x="4"/>
  </rowFields>
  <rowItems count="5">
    <i>
      <x/>
    </i>
    <i>
      <x v="1"/>
    </i>
    <i>
      <x v="2"/>
    </i>
    <i>
      <x v="3"/>
    </i>
    <i t="grand">
      <x/>
    </i>
  </rowItems>
  <colItems count="1">
    <i/>
  </colItems>
  <dataFields count="1">
    <dataField name="Count of Tuition_Fee" fld="5" subtotal="count" baseField="4" baseItem="0"/>
  </dataFields>
  <formats count="4">
    <format dxfId="170">
      <pivotArea outline="0" collapsedLevelsAreSubtotals="1" fieldPosition="0"/>
    </format>
    <format dxfId="171">
      <pivotArea collapsedLevelsAreSubtotals="1" fieldPosition="0">
        <references count="1">
          <reference field="4" count="1">
            <x v="0"/>
          </reference>
        </references>
      </pivotArea>
    </format>
    <format dxfId="172">
      <pivotArea collapsedLevelsAreSubtotals="1" fieldPosition="0">
        <references count="1">
          <reference field="4" count="3">
            <x v="1"/>
            <x v="2"/>
            <x v="3"/>
          </reference>
        </references>
      </pivotArea>
    </format>
    <format dxfId="173">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2C27B98-2855-4223-B069-CDE329A4ED26}" name="PivotTable29" cacheId="2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8" firstHeaderRow="1" firstDataRow="1" firstDataCol="1"/>
  <pivotFields count="8">
    <pivotField dataField="1" showAll="0"/>
    <pivotField showAll="0">
      <items count="4">
        <item x="1"/>
        <item x="0"/>
        <item x="2"/>
        <item t="default"/>
      </items>
    </pivotField>
    <pivotField showAll="0">
      <items count="8">
        <item x="5"/>
        <item x="0"/>
        <item x="2"/>
        <item x="4"/>
        <item x="6"/>
        <item x="3"/>
        <item x="1"/>
        <item t="default"/>
      </items>
    </pivotField>
    <pivotField showAll="0">
      <items count="219">
        <item x="21"/>
        <item x="199"/>
        <item x="148"/>
        <item x="142"/>
        <item x="213"/>
        <item x="25"/>
        <item x="26"/>
        <item x="106"/>
        <item x="93"/>
        <item x="78"/>
        <item x="165"/>
        <item x="81"/>
        <item x="53"/>
        <item x="121"/>
        <item x="193"/>
        <item x="45"/>
        <item x="186"/>
        <item x="10"/>
        <item x="150"/>
        <item x="200"/>
        <item x="27"/>
        <item x="195"/>
        <item x="160"/>
        <item x="180"/>
        <item x="171"/>
        <item x="177"/>
        <item x="158"/>
        <item x="7"/>
        <item x="35"/>
        <item x="174"/>
        <item x="9"/>
        <item x="153"/>
        <item x="33"/>
        <item x="115"/>
        <item x="95"/>
        <item x="201"/>
        <item x="13"/>
        <item x="125"/>
        <item x="185"/>
        <item x="202"/>
        <item x="189"/>
        <item x="108"/>
        <item x="205"/>
        <item x="1"/>
        <item x="52"/>
        <item x="191"/>
        <item x="40"/>
        <item x="111"/>
        <item x="215"/>
        <item x="184"/>
        <item x="75"/>
        <item x="102"/>
        <item x="91"/>
        <item x="19"/>
        <item x="129"/>
        <item x="30"/>
        <item x="145"/>
        <item x="73"/>
        <item x="130"/>
        <item x="187"/>
        <item x="116"/>
        <item x="48"/>
        <item x="100"/>
        <item x="112"/>
        <item x="167"/>
        <item x="124"/>
        <item x="196"/>
        <item x="152"/>
        <item x="175"/>
        <item x="166"/>
        <item x="64"/>
        <item x="8"/>
        <item x="89"/>
        <item x="192"/>
        <item x="140"/>
        <item x="209"/>
        <item x="206"/>
        <item x="72"/>
        <item x="24"/>
        <item x="159"/>
        <item x="127"/>
        <item x="208"/>
        <item x="190"/>
        <item x="67"/>
        <item x="198"/>
        <item x="99"/>
        <item x="103"/>
        <item x="164"/>
        <item x="58"/>
        <item x="57"/>
        <item x="117"/>
        <item x="181"/>
        <item x="22"/>
        <item x="151"/>
        <item x="109"/>
        <item x="31"/>
        <item x="128"/>
        <item x="62"/>
        <item x="65"/>
        <item x="44"/>
        <item x="118"/>
        <item x="42"/>
        <item x="137"/>
        <item x="50"/>
        <item x="18"/>
        <item x="94"/>
        <item x="39"/>
        <item x="54"/>
        <item x="84"/>
        <item x="123"/>
        <item x="82"/>
        <item x="23"/>
        <item x="157"/>
        <item x="74"/>
        <item x="101"/>
        <item x="110"/>
        <item x="197"/>
        <item x="20"/>
        <item x="51"/>
        <item x="149"/>
        <item x="63"/>
        <item x="182"/>
        <item x="211"/>
        <item x="28"/>
        <item x="96"/>
        <item x="5"/>
        <item x="163"/>
        <item x="132"/>
        <item x="126"/>
        <item x="107"/>
        <item x="34"/>
        <item x="68"/>
        <item x="170"/>
        <item x="32"/>
        <item x="0"/>
        <item x="194"/>
        <item x="85"/>
        <item x="17"/>
        <item x="217"/>
        <item x="120"/>
        <item x="36"/>
        <item x="49"/>
        <item x="4"/>
        <item x="12"/>
        <item x="161"/>
        <item x="77"/>
        <item x="139"/>
        <item x="14"/>
        <item x="97"/>
        <item x="15"/>
        <item x="143"/>
        <item x="134"/>
        <item x="70"/>
        <item x="6"/>
        <item x="80"/>
        <item x="214"/>
        <item x="179"/>
        <item x="162"/>
        <item x="46"/>
        <item x="146"/>
        <item x="203"/>
        <item x="136"/>
        <item x="29"/>
        <item x="119"/>
        <item x="87"/>
        <item x="210"/>
        <item x="183"/>
        <item x="69"/>
        <item x="155"/>
        <item x="83"/>
        <item x="169"/>
        <item x="16"/>
        <item x="122"/>
        <item x="88"/>
        <item x="113"/>
        <item x="59"/>
        <item x="2"/>
        <item x="173"/>
        <item x="60"/>
        <item x="79"/>
        <item x="147"/>
        <item x="3"/>
        <item x="114"/>
        <item x="56"/>
        <item x="141"/>
        <item x="144"/>
        <item x="135"/>
        <item x="86"/>
        <item x="41"/>
        <item x="47"/>
        <item x="43"/>
        <item x="98"/>
        <item x="188"/>
        <item x="172"/>
        <item x="55"/>
        <item x="105"/>
        <item x="212"/>
        <item x="104"/>
        <item x="168"/>
        <item x="133"/>
        <item x="176"/>
        <item x="154"/>
        <item x="66"/>
        <item x="178"/>
        <item x="90"/>
        <item x="138"/>
        <item x="207"/>
        <item x="61"/>
        <item x="92"/>
        <item x="76"/>
        <item x="131"/>
        <item x="204"/>
        <item x="38"/>
        <item x="71"/>
        <item x="37"/>
        <item x="156"/>
        <item x="216"/>
        <item x="11"/>
        <item t="default"/>
      </items>
    </pivotField>
    <pivotField axis="axisRow" showAll="0">
      <items count="5">
        <item x="0"/>
        <item x="3"/>
        <item x="1"/>
        <item x="2"/>
        <item t="default"/>
      </items>
    </pivotField>
    <pivotField showAll="0"/>
    <pivotField showAll="0">
      <items count="6">
        <item x="1"/>
        <item x="4"/>
        <item x="3"/>
        <item x="0"/>
        <item x="2"/>
        <item t="default"/>
      </items>
    </pivotField>
    <pivotField showAll="0" defaultSubtotal="0">
      <items count="1">
        <item x="0"/>
      </items>
    </pivotField>
  </pivotFields>
  <rowFields count="1">
    <field x="4"/>
  </rowFields>
  <rowItems count="5">
    <i>
      <x/>
    </i>
    <i>
      <x v="1"/>
    </i>
    <i>
      <x v="2"/>
    </i>
    <i>
      <x v="3"/>
    </i>
    <i t="grand">
      <x/>
    </i>
  </rowItems>
  <colItems count="1">
    <i/>
  </colItems>
  <dataFields count="1">
    <dataField name="Count of Student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070A1AE-0282-4EE2-B0F3-C6C5206BA946}" name="PivotTable30" cacheId="2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8">
    <pivotField showAll="0"/>
    <pivotField showAll="0">
      <items count="4">
        <item x="1"/>
        <item x="0"/>
        <item x="2"/>
        <item t="default"/>
      </items>
    </pivotField>
    <pivotField showAll="0">
      <items count="8">
        <item x="5"/>
        <item x="0"/>
        <item x="2"/>
        <item x="4"/>
        <item x="6"/>
        <item x="3"/>
        <item x="1"/>
        <item t="default"/>
      </items>
    </pivotField>
    <pivotField showAll="0">
      <items count="219">
        <item x="21"/>
        <item x="199"/>
        <item x="148"/>
        <item x="142"/>
        <item x="213"/>
        <item x="25"/>
        <item x="26"/>
        <item x="106"/>
        <item x="93"/>
        <item x="78"/>
        <item x="165"/>
        <item x="81"/>
        <item x="53"/>
        <item x="121"/>
        <item x="193"/>
        <item x="45"/>
        <item x="186"/>
        <item x="10"/>
        <item x="150"/>
        <item x="200"/>
        <item x="27"/>
        <item x="195"/>
        <item x="160"/>
        <item x="180"/>
        <item x="171"/>
        <item x="177"/>
        <item x="158"/>
        <item x="7"/>
        <item x="35"/>
        <item x="174"/>
        <item x="9"/>
        <item x="153"/>
        <item x="33"/>
        <item x="115"/>
        <item x="95"/>
        <item x="201"/>
        <item x="13"/>
        <item x="125"/>
        <item x="185"/>
        <item x="202"/>
        <item x="189"/>
        <item x="108"/>
        <item x="205"/>
        <item x="1"/>
        <item x="52"/>
        <item x="191"/>
        <item x="40"/>
        <item x="111"/>
        <item x="215"/>
        <item x="184"/>
        <item x="75"/>
        <item x="102"/>
        <item x="91"/>
        <item x="19"/>
        <item x="129"/>
        <item x="30"/>
        <item x="145"/>
        <item x="73"/>
        <item x="130"/>
        <item x="187"/>
        <item x="116"/>
        <item x="48"/>
        <item x="100"/>
        <item x="112"/>
        <item x="167"/>
        <item x="124"/>
        <item x="196"/>
        <item x="152"/>
        <item x="175"/>
        <item x="166"/>
        <item x="64"/>
        <item x="8"/>
        <item x="89"/>
        <item x="192"/>
        <item x="140"/>
        <item x="209"/>
        <item x="206"/>
        <item x="72"/>
        <item x="24"/>
        <item x="159"/>
        <item x="127"/>
        <item x="208"/>
        <item x="190"/>
        <item x="67"/>
        <item x="198"/>
        <item x="99"/>
        <item x="103"/>
        <item x="164"/>
        <item x="58"/>
        <item x="57"/>
        <item x="117"/>
        <item x="181"/>
        <item x="22"/>
        <item x="151"/>
        <item x="109"/>
        <item x="31"/>
        <item x="128"/>
        <item x="62"/>
        <item x="65"/>
        <item x="44"/>
        <item x="118"/>
        <item x="42"/>
        <item x="137"/>
        <item x="50"/>
        <item x="18"/>
        <item x="94"/>
        <item x="39"/>
        <item x="54"/>
        <item x="84"/>
        <item x="123"/>
        <item x="82"/>
        <item x="23"/>
        <item x="157"/>
        <item x="74"/>
        <item x="101"/>
        <item x="110"/>
        <item x="197"/>
        <item x="20"/>
        <item x="51"/>
        <item x="149"/>
        <item x="63"/>
        <item x="182"/>
        <item x="211"/>
        <item x="28"/>
        <item x="96"/>
        <item x="5"/>
        <item x="163"/>
        <item x="132"/>
        <item x="126"/>
        <item x="107"/>
        <item x="34"/>
        <item x="68"/>
        <item x="170"/>
        <item x="32"/>
        <item x="0"/>
        <item x="194"/>
        <item x="85"/>
        <item x="17"/>
        <item x="217"/>
        <item x="120"/>
        <item x="36"/>
        <item x="49"/>
        <item x="4"/>
        <item x="12"/>
        <item x="161"/>
        <item x="77"/>
        <item x="139"/>
        <item x="14"/>
        <item x="97"/>
        <item x="15"/>
        <item x="143"/>
        <item x="134"/>
        <item x="70"/>
        <item x="6"/>
        <item x="80"/>
        <item x="214"/>
        <item x="179"/>
        <item x="162"/>
        <item x="46"/>
        <item x="146"/>
        <item x="203"/>
        <item x="136"/>
        <item x="29"/>
        <item x="119"/>
        <item x="87"/>
        <item x="210"/>
        <item x="183"/>
        <item x="69"/>
        <item x="155"/>
        <item x="83"/>
        <item x="169"/>
        <item x="16"/>
        <item x="122"/>
        <item x="88"/>
        <item x="113"/>
        <item x="59"/>
        <item x="2"/>
        <item x="173"/>
        <item x="60"/>
        <item x="79"/>
        <item x="147"/>
        <item x="3"/>
        <item x="114"/>
        <item x="56"/>
        <item x="141"/>
        <item x="144"/>
        <item x="135"/>
        <item x="86"/>
        <item x="41"/>
        <item x="47"/>
        <item x="43"/>
        <item x="98"/>
        <item x="188"/>
        <item x="172"/>
        <item x="55"/>
        <item x="105"/>
        <item x="212"/>
        <item x="104"/>
        <item x="168"/>
        <item x="133"/>
        <item x="176"/>
        <item x="154"/>
        <item x="66"/>
        <item x="178"/>
        <item x="90"/>
        <item x="138"/>
        <item x="207"/>
        <item x="61"/>
        <item x="92"/>
        <item x="76"/>
        <item x="131"/>
        <item x="204"/>
        <item x="38"/>
        <item x="71"/>
        <item x="37"/>
        <item x="156"/>
        <item x="216"/>
        <item x="11"/>
        <item t="default"/>
      </items>
    </pivotField>
    <pivotField showAll="0">
      <items count="5">
        <item x="0"/>
        <item x="3"/>
        <item x="1"/>
        <item x="2"/>
        <item t="default"/>
      </items>
    </pivotField>
    <pivotField dataField="1" showAll="0"/>
    <pivotField showAll="0">
      <items count="6">
        <item x="1"/>
        <item x="4"/>
        <item x="3"/>
        <item x="0"/>
        <item x="2"/>
        <item t="default"/>
      </items>
    </pivotField>
    <pivotField showAll="0" defaultSubtotal="0">
      <items count="1">
        <item x="0"/>
      </items>
    </pivotField>
  </pivotFields>
  <rowItems count="1">
    <i/>
  </rowItems>
  <colItems count="1">
    <i/>
  </colItems>
  <dataFields count="1">
    <dataField name="Average of Tuition_Fee" fld="5" subtotal="average"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rollment_Status" xr10:uid="{6AF274D5-607C-45E9-BDBA-4D0F4197BC11}" sourceName="Enrollment_Status">
  <data>
    <tabular pivotCacheId="1032209485">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59C50E92-A434-44A3-95A0-035F98BD1489}" sourceName="Gender">
  <data>
    <tabular pivotCacheId="1032209485">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gram4" xr10:uid="{480D3302-1296-4A40-91F3-3FFEBC62EE6B}" sourceName="Program">
  <data>
    <tabular pivotCacheId="1032209485">
      <items count="6">
        <i x="2" s="1"/>
        <i x="1" s="1"/>
        <i x="4" s="1"/>
        <i x="0" s="1"/>
        <i x="5"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rollment_Date1" xr10:uid="{579FB971-D4C0-492A-B0CC-6DF1328274BF}" sourceName="Enrollment_Date">
  <data>
    <tabular pivotCacheId="1032209485">
      <items count="14">
        <i x="1" s="1"/>
        <i x="2" s="1"/>
        <i x="3" s="1"/>
        <i x="4" s="1"/>
        <i x="5" s="1"/>
        <i x="6" s="1"/>
        <i x="7" s="1"/>
        <i x="8" s="1"/>
        <i x="9" s="1"/>
        <i x="10" s="1"/>
        <i x="11" s="1"/>
        <i x="12" s="1"/>
        <i x="0" s="1" nd="1"/>
        <i x="1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y_Mode1" xr10:uid="{4B952BA9-AAA8-456C-86C3-39A337785F1C}" sourceName="Study_Mode">
  <data>
    <tabular pivotCacheId="1032209485">
      <items count="3">
        <i x="1" s="1"/>
        <i x="0"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7FFDE1B-B7AF-41B0-89FF-01A87484D8BF}" sourceName="Gender">
  <pivotTables>
    <pivotTable tabId="44" name="PivotTable1"/>
    <pivotTable tabId="75" name="PivotTable30"/>
    <pivotTable tabId="46" name="PivotTable3"/>
    <pivotTable tabId="63" name="PivotTable20"/>
    <pivotTable tabId="45" name="PivotTable2"/>
    <pivotTable tabId="48" name="PivotTable5"/>
    <pivotTable tabId="47" name="PivotTable4"/>
    <pivotTable tabId="68" name="PivotTable24"/>
    <pivotTable tabId="64" name="PivotTable21"/>
    <pivotTable tabId="73" name="PivotTable28"/>
    <pivotTable tabId="74" name="PivotTable29"/>
  </pivotTables>
  <data>
    <tabular pivotCacheId="1126353435">
      <items count="3">
        <i x="1" s="1"/>
        <i x="0"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gram2" xr10:uid="{388E44FE-0F75-4E99-AF7D-37B6EE2E086A}" sourceName="Program">
  <pivotTables>
    <pivotTable tabId="44" name="PivotTable1"/>
    <pivotTable tabId="75" name="PivotTable30"/>
    <pivotTable tabId="46" name="PivotTable3"/>
    <pivotTable tabId="63" name="PivotTable20"/>
    <pivotTable tabId="45" name="PivotTable2"/>
    <pivotTable tabId="48" name="PivotTable5"/>
    <pivotTable tabId="47" name="PivotTable4"/>
    <pivotTable tabId="68" name="PivotTable24"/>
    <pivotTable tabId="64" name="PivotTable21"/>
    <pivotTable tabId="73" name="PivotTable28"/>
    <pivotTable tabId="74" name="PivotTable29"/>
  </pivotTables>
  <data>
    <tabular pivotCacheId="1126353435">
      <items count="7">
        <i x="5" s="1"/>
        <i x="0" s="1"/>
        <i x="2" s="1"/>
        <i x="4" s="1"/>
        <i x="6" s="1"/>
        <i x="3"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y_Mode2" xr10:uid="{9776E4D8-E41B-449B-AFCC-E6ACD9194EA0}" sourceName="Study_Mode">
  <pivotTables>
    <pivotTable tabId="44" name="PivotTable1"/>
    <pivotTable tabId="75" name="PivotTable30"/>
    <pivotTable tabId="46" name="PivotTable3"/>
    <pivotTable tabId="63" name="PivotTable20"/>
    <pivotTable tabId="45" name="PivotTable2"/>
    <pivotTable tabId="48" name="PivotTable5"/>
    <pivotTable tabId="47" name="PivotTable4"/>
    <pivotTable tabId="68" name="PivotTable24"/>
    <pivotTable tabId="64" name="PivotTable21"/>
    <pivotTable tabId="73" name="PivotTable28"/>
    <pivotTable tabId="74" name="PivotTable29"/>
  </pivotTables>
  <data>
    <tabular pivotCacheId="1126353435">
      <items count="4">
        <i x="0" s="1"/>
        <i x="3" s="1"/>
        <i x="1" s="1"/>
        <i x="2"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rollment_Status2" xr10:uid="{C3224C26-6AD7-4276-AFC7-8A17576BDE75}" sourceName="Enrollment_Status">
  <pivotTables>
    <pivotTable tabId="44" name="PivotTable1"/>
    <pivotTable tabId="75" name="PivotTable30"/>
    <pivotTable tabId="46" name="PivotTable3"/>
    <pivotTable tabId="63" name="PivotTable20"/>
    <pivotTable tabId="45" name="PivotTable2"/>
    <pivotTable tabId="48" name="PivotTable5"/>
    <pivotTable tabId="47" name="PivotTable4"/>
    <pivotTable tabId="68" name="PivotTable24"/>
    <pivotTable tabId="64" name="PivotTable21"/>
    <pivotTable tabId="73" name="PivotTable28"/>
    <pivotTable tabId="74" name="PivotTable29"/>
  </pivotTables>
  <data>
    <tabular pivotCacheId="1126353435">
      <items count="5">
        <i x="1" s="1"/>
        <i x="4" s="1"/>
        <i x="3" s="1"/>
        <i x="0" s="1"/>
        <i x="2"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rollment_Date" xr10:uid="{0F6E9C03-6491-498C-B8AC-2339AAED7DA7}" sourceName="[Table1].[Enrollment_Date]">
  <pivotTables>
    <pivotTable tabId="60" name="PivotTable17"/>
    <pivotTable tabId="71" name="PivotTable27"/>
  </pivotTables>
  <data>
    <olap pivotCacheId="476197910">
      <levels count="2">
        <level uniqueName="[Table1].[Enrollment_Date].[(All)]" sourceCaption="(All)" count="0"/>
        <level uniqueName="[Table1].[Enrollment_Date].[Enrollment_Date]" sourceCaption="Enrollment_Date" count="186">
          <ranges>
            <range startItem="0">
              <i n="[Table1].[Enrollment_Date].&amp;[1/10/2026]" c="1/10/2026"/>
              <i n="[Table1].[Enrollment_Date].&amp;[1/11/2026]" c="1/11/2026"/>
              <i n="[Table1].[Enrollment_Date].&amp;[1/12/2026]" c="1/12/2026"/>
              <i n="[Table1].[Enrollment_Date].&amp;[1/13/2026]" c="1/13/2026"/>
              <i n="[Table1].[Enrollment_Date].&amp;[1/14/2026]" c="1/14/2026"/>
              <i n="[Table1].[Enrollment_Date].&amp;[1/15/2026]" c="1/15/2026"/>
              <i n="[Table1].[Enrollment_Date].&amp;[1/16/2026]" c="1/16/2026"/>
              <i n="[Table1].[Enrollment_Date].&amp;[1/17/2026]" c="1/17/2026"/>
              <i n="[Table1].[Enrollment_Date].&amp;[1/18/2026]" c="1/18/2026"/>
              <i n="[Table1].[Enrollment_Date].&amp;[1/19/2026]" c="1/19/2026"/>
              <i n="[Table1].[Enrollment_Date].&amp;[1/20/2026]" c="1/20/2026"/>
              <i n="[Table1].[Enrollment_Date].&amp;[1/21/2026]" c="1/21/2026"/>
              <i n="[Table1].[Enrollment_Date].&amp;[1/22/2026]" c="1/22/2026"/>
              <i n="[Table1].[Enrollment_Date].&amp;[1/23/2026]" c="1/23/2026"/>
              <i n="[Table1].[Enrollment_Date].&amp;[1/24/2026]" c="1/24/2026"/>
              <i n="[Table1].[Enrollment_Date].&amp;[1/25/2026]" c="1/25/2026"/>
              <i n="[Table1].[Enrollment_Date].&amp;[1/26/2026]" c="1/26/2026"/>
              <i n="[Table1].[Enrollment_Date].&amp;[1/27/2026]" c="1/27/2026"/>
              <i n="[Table1].[Enrollment_Date].&amp;[1/28/2026]" c="1/28/2026"/>
              <i n="[Table1].[Enrollment_Date].&amp;[1/29/2026]" c="1/29/2026"/>
              <i n="[Table1].[Enrollment_Date].&amp;[1/30/2026]" c="1/30/2026"/>
              <i n="[Table1].[Enrollment_Date].&amp;[1/31/2026]" c="1/31/2026"/>
              <i n="[Table1].[Enrollment_Date].&amp;[1/6/2026]" c="1/6/2026"/>
              <i n="[Table1].[Enrollment_Date].&amp;[1/7/2026]" c="1/7/2026"/>
              <i n="[Table1].[Enrollment_Date].&amp;[1/8/2026]" c="1/8/2026"/>
              <i n="[Table1].[Enrollment_Date].&amp;[1/9/2026]" c="1/9/2026"/>
              <i n="[Table1].[Enrollment_Date].&amp;[11/15/2025]" c="11/15/2025"/>
              <i n="[Table1].[Enrollment_Date].&amp;[11/16/2025]" c="11/16/2025"/>
              <i n="[Table1].[Enrollment_Date].&amp;[11/17/2025]" c="11/17/2025"/>
              <i n="[Table1].[Enrollment_Date].&amp;[11/18/2025]" c="11/18/2025"/>
              <i n="[Table1].[Enrollment_Date].&amp;[11/19/2025]" c="11/19/2025"/>
              <i n="[Table1].[Enrollment_Date].&amp;[11/20/2025]" c="11/20/2025"/>
              <i n="[Table1].[Enrollment_Date].&amp;[11/21/2025]" c="11/21/2025"/>
              <i n="[Table1].[Enrollment_Date].&amp;[11/22/2025]" c="11/22/2025"/>
              <i n="[Table1].[Enrollment_Date].&amp;[11/23/2025]" c="11/23/2025"/>
              <i n="[Table1].[Enrollment_Date].&amp;[11/24/2025]" c="11/24/2025"/>
              <i n="[Table1].[Enrollment_Date].&amp;[11/25/2025]" c="11/25/2025"/>
              <i n="[Table1].[Enrollment_Date].&amp;[11/26/2025]" c="11/26/2025"/>
              <i n="[Table1].[Enrollment_Date].&amp;[11/27/2025]" c="11/27/2025"/>
              <i n="[Table1].[Enrollment_Date].&amp;[11/28/2025]" c="11/28/2025"/>
              <i n="[Table1].[Enrollment_Date].&amp;[11/29/2025]" c="11/29/2025"/>
              <i n="[Table1].[Enrollment_Date].&amp;[11/30/2025]" c="11/30/2025"/>
              <i n="[Table1].[Enrollment_Date].&amp;[11/8/2025]" c="11/8/2025"/>
              <i n="[Table1].[Enrollment_Date].&amp;[12/1/2025]" c="12/1/2025"/>
              <i n="[Table1].[Enrollment_Date].&amp;[12/10/2025]" c="12/10/2025"/>
              <i n="[Table1].[Enrollment_Date].&amp;[12/11/2025]" c="12/11/2025"/>
              <i n="[Table1].[Enrollment_Date].&amp;[12/12/2025]" c="12/12/2025"/>
              <i n="[Table1].[Enrollment_Date].&amp;[12/13/2025]" c="12/13/2025"/>
              <i n="[Table1].[Enrollment_Date].&amp;[12/14/2025]" c="12/14/2025"/>
              <i n="[Table1].[Enrollment_Date].&amp;[12/15/2025]" c="12/15/2025"/>
              <i n="[Table1].[Enrollment_Date].&amp;[12/16/2025]" c="12/16/2025"/>
              <i n="[Table1].[Enrollment_Date].&amp;[12/17/2025]" c="12/17/2025"/>
              <i n="[Table1].[Enrollment_Date].&amp;[12/18/2025]" c="12/18/2025"/>
              <i n="[Table1].[Enrollment_Date].&amp;[12/19/2025]" c="12/19/2025"/>
              <i n="[Table1].[Enrollment_Date].&amp;[12/2/2025]" c="12/2/2025"/>
              <i n="[Table1].[Enrollment_Date].&amp;[12/20/2025]" c="12/20/2025"/>
              <i n="[Table1].[Enrollment_Date].&amp;[12/21/2025]" c="12/21/2025"/>
              <i n="[Table1].[Enrollment_Date].&amp;[12/22/2025]" c="12/22/2025"/>
              <i n="[Table1].[Enrollment_Date].&amp;[12/23/2025]" c="12/23/2025"/>
              <i n="[Table1].[Enrollment_Date].&amp;[12/24/2025]" c="12/24/2025"/>
              <i n="[Table1].[Enrollment_Date].&amp;[12/3/2025]" c="12/3/2025"/>
              <i n="[Table1].[Enrollment_Date].&amp;[12/4/2025]" c="12/4/2025"/>
              <i n="[Table1].[Enrollment_Date].&amp;[12/5/2025]" c="12/5/2025"/>
              <i n="[Table1].[Enrollment_Date].&amp;[12/6/2025]" c="12/6/2025"/>
              <i n="[Table1].[Enrollment_Date].&amp;[12/7/2025]" c="12/7/2025"/>
              <i n="[Table1].[Enrollment_Date].&amp;[12/8/2025]" c="12/8/2025"/>
              <i n="[Table1].[Enrollment_Date].&amp;[12/9/2025]" c="12/9/2025"/>
              <i n="[Table1].[Enrollment_Date].&amp;[2/1/2026]" c="2/1/2026"/>
              <i n="[Table1].[Enrollment_Date].&amp;[2/10/2026]" c="2/10/2026"/>
              <i n="[Table1].[Enrollment_Date].&amp;[2/11/2026]" c="2/11/2026"/>
              <i n="[Table1].[Enrollment_Date].&amp;[2/12/2026]" c="2/12/2026"/>
              <i n="[Table1].[Enrollment_Date].&amp;[2/13/2026]" c="2/13/2026"/>
              <i n="[Table1].[Enrollment_Date].&amp;[2/14/2026]" c="2/14/2026"/>
              <i n="[Table1].[Enrollment_Date].&amp;[2/15/2026]" c="2/15/2026"/>
              <i n="[Table1].[Enrollment_Date].&amp;[2/16/2026]" c="2/16/2026"/>
              <i n="[Table1].[Enrollment_Date].&amp;[2/17/2026]" c="2/17/2026"/>
              <i n="[Table1].[Enrollment_Date].&amp;[2/18/2026]" c="2/18/2026"/>
              <i n="[Table1].[Enrollment_Date].&amp;[2/19/2026]" c="2/19/2026"/>
              <i n="[Table1].[Enrollment_Date].&amp;[2/2/2026]" c="2/2/2026"/>
              <i n="[Table1].[Enrollment_Date].&amp;[2/20/2026]" c="2/20/2026"/>
              <i n="[Table1].[Enrollment_Date].&amp;[2/3/2026]" c="2/3/2026"/>
              <i n="[Table1].[Enrollment_Date].&amp;[2/4/2026]" c="2/4/2026"/>
              <i n="[Table1].[Enrollment_Date].&amp;[2/5/2026]" c="2/5/2026"/>
              <i n="[Table1].[Enrollment_Date].&amp;[2/6/2026]" c="2/6/2026"/>
              <i n="[Table1].[Enrollment_Date].&amp;[2/7/2026]" c="2/7/2026"/>
              <i n="[Table1].[Enrollment_Date].&amp;[2/8/2026]" c="2/8/2026"/>
              <i n="[Table1].[Enrollment_Date].&amp;[2/9/2026]" c="2/9/2026"/>
              <i n="[Table1].[Enrollment_Date].&amp;[3/11/2026]" c="3/11/2026"/>
              <i n="[Table1].[Enrollment_Date].&amp;[3/12/2026]" c="3/12/2026"/>
              <i n="[Table1].[Enrollment_Date].&amp;[3/13/2026]" c="3/13/2026"/>
              <i n="[Table1].[Enrollment_Date].&amp;[3/14/2026]" c="3/14/2026"/>
              <i n="[Table1].[Enrollment_Date].&amp;[3/15/2026]" c="3/15/2026"/>
              <i n="[Table1].[Enrollment_Date].&amp;[3/16/2026]" c="3/16/2026"/>
              <i n="[Table1].[Enrollment_Date].&amp;[5/14/2026]" c="5/14/2026"/>
              <i n="[Table1].[Enrollment_Date].&amp;[5/15/2026]" c="5/15/2026"/>
              <i n="[Table1].[Enrollment_Date].&amp;[5/16/2026]" c="5/16/2026"/>
              <i n="[Table1].[Enrollment_Date].&amp;[5/17/2026]" c="5/17/2026"/>
              <i n="[Table1].[Enrollment_Date].&amp;[5/18/2026]" c="5/18/2026"/>
              <i n="[Table1].[Enrollment_Date].&amp;[5/19/2026]" c="5/19/2026"/>
              <i n="[Table1].[Enrollment_Date].&amp;[5/20/2026]" c="5/20/2026"/>
              <i n="[Table1].[Enrollment_Date].&amp;[5/21/2026]" c="5/21/2026"/>
              <i n="[Table1].[Enrollment_Date].&amp;[5/22/2026]" c="5/22/2026"/>
              <i n="[Table1].[Enrollment_Date].&amp;[5/23/2026]" c="5/23/2026"/>
              <i n="[Table1].[Enrollment_Date].&amp;[6/10/2025]" c="6/10/2025"/>
              <i n="[Table1].[Enrollment_Date].&amp;[6/11/2025]" c="6/11/2025"/>
              <i n="[Table1].[Enrollment_Date].&amp;[6/12/2025]" c="6/12/2025"/>
              <i n="[Table1].[Enrollment_Date].&amp;[6/13/2025]" c="6/13/2025"/>
              <i n="[Table1].[Enrollment_Date].&amp;[6/14/2025]" c="6/14/2025"/>
              <i n="[Table1].[Enrollment_Date].&amp;[6/15/2025]" c="6/15/2025"/>
              <i n="[Table1].[Enrollment_Date].&amp;[6/16/2025]" c="6/16/2025"/>
              <i n="[Table1].[Enrollment_Date].&amp;[6/17/2025]" c="6/17/2025"/>
              <i n="[Table1].[Enrollment_Date].&amp;[6/18/2025]" c="6/18/2025"/>
              <i n="[Table1].[Enrollment_Date].&amp;[6/19/2025]" c="6/19/2025"/>
              <i n="[Table1].[Enrollment_Date].&amp;[6/20/2025]" c="6/20/2025"/>
              <i n="[Table1].[Enrollment_Date].&amp;[6/21/2025]" c="6/21/2025"/>
              <i n="[Table1].[Enrollment_Date].&amp;[6/22/2025]" c="6/22/2025"/>
              <i n="[Table1].[Enrollment_Date].&amp;[6/23/2025]" c="6/23/2025"/>
              <i n="[Table1].[Enrollment_Date].&amp;[6/24/2025]" c="6/24/2025"/>
              <i n="[Table1].[Enrollment_Date].&amp;[6/25/2025]" c="6/25/2025"/>
              <i n="[Table1].[Enrollment_Date].&amp;[6/26/2025]" c="6/26/2025"/>
              <i n="[Table1].[Enrollment_Date].&amp;[6/27/2025]" c="6/27/2025"/>
              <i n="[Table1].[Enrollment_Date].&amp;[6/28/2025]" c="6/28/2025"/>
              <i n="[Table1].[Enrollment_Date].&amp;[6/29/2025]" c="6/29/2025"/>
              <i n="[Table1].[Enrollment_Date].&amp;[6/30/2025]" c="6/30/2025"/>
              <i n="[Table1].[Enrollment_Date].&amp;[6/9/2025]" c="6/9/2025"/>
              <i n="[Table1].[Enrollment_Date].&amp;[7/1/2025]" c="7/1/2025"/>
              <i n="[Table1].[Enrollment_Date].&amp;[7/10/2025]" c="7/10/2025"/>
              <i n="[Table1].[Enrollment_Date].&amp;[7/10/2026]" c="7/10/2026"/>
              <i n="[Table1].[Enrollment_Date].&amp;[7/11/2025]" c="7/11/2025"/>
              <i n="[Table1].[Enrollment_Date].&amp;[7/11/2026]" c="7/11/2026"/>
              <i n="[Table1].[Enrollment_Date].&amp;[7/12/2025]" c="7/12/2025"/>
              <i n="[Table1].[Enrollment_Date].&amp;[7/12/2026]" c="7/12/2026"/>
              <i n="[Table1].[Enrollment_Date].&amp;[7/13/2025]" c="7/13/2025"/>
              <i n="[Table1].[Enrollment_Date].&amp;[7/13/2026]" c="7/13/2026"/>
              <i n="[Table1].[Enrollment_Date].&amp;[7/14/2025]" c="7/14/2025"/>
              <i n="[Table1].[Enrollment_Date].&amp;[7/14/2026]" c="7/14/2026"/>
              <i n="[Table1].[Enrollment_Date].&amp;[7/15/2025]" c="7/15/2025"/>
              <i n="[Table1].[Enrollment_Date].&amp;[7/15/2026]" c="7/15/2026"/>
              <i n="[Table1].[Enrollment_Date].&amp;[7/16/2025]" c="7/16/2025"/>
              <i n="[Table1].[Enrollment_Date].&amp;[7/16/2026]" c="7/16/2026"/>
              <i n="[Table1].[Enrollment_Date].&amp;[7/17/2025]" c="7/17/2025"/>
              <i n="[Table1].[Enrollment_Date].&amp;[7/17/2026]" c="7/17/2026"/>
              <i n="[Table1].[Enrollment_Date].&amp;[7/18/2025]" c="7/18/2025"/>
              <i n="[Table1].[Enrollment_Date].&amp;[7/19/2025]" c="7/19/2025"/>
              <i n="[Table1].[Enrollment_Date].&amp;[7/2/2025]" c="7/2/2025"/>
              <i n="[Table1].[Enrollment_Date].&amp;[7/20/2025]" c="7/20/2025"/>
              <i n="[Table1].[Enrollment_Date].&amp;[7/21/2025]" c="7/21/2025"/>
              <i n="[Table1].[Enrollment_Date].&amp;[7/22/2025]" c="7/22/2025"/>
              <i n="[Table1].[Enrollment_Date].&amp;[7/23/2025]" c="7/23/2025"/>
              <i n="[Table1].[Enrollment_Date].&amp;[7/24/2025]" c="7/24/2025"/>
              <i n="[Table1].[Enrollment_Date].&amp;[7/3/2025]" c="7/3/2025"/>
              <i n="[Table1].[Enrollment_Date].&amp;[7/31/2025]" c="7/31/2025"/>
              <i n="[Table1].[Enrollment_Date].&amp;[7/4/2025]" c="7/4/2025"/>
              <i n="[Table1].[Enrollment_Date].&amp;[7/5/2025]" c="7/5/2025"/>
              <i n="[Table1].[Enrollment_Date].&amp;[7/6/2025]" c="7/6/2025"/>
              <i n="[Table1].[Enrollment_Date].&amp;[7/7/2025]" c="7/7/2025"/>
              <i n="[Table1].[Enrollment_Date].&amp;[7/8/2025]" c="7/8/2025"/>
              <i n="[Table1].[Enrollment_Date].&amp;[7/9/2025]" c="7/9/2025"/>
              <i n="[Table1].[Enrollment_Date].&amp;[8/1/2025]" c="8/1/2025"/>
              <i n="[Table1].[Enrollment_Date].&amp;[8/10/2025]" c="8/10/2025"/>
              <i n="[Table1].[Enrollment_Date].&amp;[8/11/2025]" c="8/11/2025"/>
              <i n="[Table1].[Enrollment_Date].&amp;[8/12/2025]" c="8/12/2025"/>
              <i n="[Table1].[Enrollment_Date].&amp;[8/13/2025]" c="8/13/2025"/>
              <i n="[Table1].[Enrollment_Date].&amp;[8/18/2025]" c="8/18/2025"/>
              <i n="[Table1].[Enrollment_Date].&amp;[8/19/2025]" c="8/19/2025"/>
              <i n="[Table1].[Enrollment_Date].&amp;[8/2/2025]" c="8/2/2025"/>
              <i n="[Table1].[Enrollment_Date].&amp;[8/20/2025]" c="8/20/2025"/>
              <i n="[Table1].[Enrollment_Date].&amp;[8/21/2025]" c="8/21/2025"/>
              <i n="[Table1].[Enrollment_Date].&amp;[8/22/2025]" c="8/22/2025"/>
              <i n="[Table1].[Enrollment_Date].&amp;[8/23/2025]" c="8/23/2025"/>
              <i n="[Table1].[Enrollment_Date].&amp;[8/24/2025]" c="8/24/2025"/>
              <i n="[Table1].[Enrollment_Date].&amp;[8/25/2025]" c="8/25/2025"/>
              <i n="[Table1].[Enrollment_Date].&amp;[8/26/2025]" c="8/26/2025"/>
              <i n="[Table1].[Enrollment_Date].&amp;[8/27/2025]" c="8/27/2025"/>
              <i n="[Table1].[Enrollment_Date].&amp;[8/28/2025]" c="8/28/2025"/>
              <i n="[Table1].[Enrollment_Date].&amp;[8/29/2025]" c="8/29/2025"/>
              <i n="[Table1].[Enrollment_Date].&amp;[8/3/2025]" c="8/3/2025"/>
              <i n="[Table1].[Enrollment_Date].&amp;[8/30/2025]" c="8/30/2025"/>
              <i n="[Table1].[Enrollment_Date].&amp;[8/31/2025]" c="8/31/2025"/>
              <i n="[Table1].[Enrollment_Date].&amp;[8/4/2025]" c="8/4/2025"/>
              <i n="[Table1].[Enrollment_Date].&amp;[8/5/2025]" c="8/5/2025"/>
              <i n="[Table1].[Enrollment_Date].&amp;[8/6/2025]" c="8/6/2025"/>
              <i n="[Table1].[Enrollment_Date].&amp;[8/7/2025]" c="8/7/2025"/>
              <i n="[Table1].[Enrollment_Date].&amp;[8/8/2025]" c="8/8/2025"/>
              <i n="[Table1].[Enrollment_Date].&amp;[8/9/2025]" c="8/9/2025"/>
              <i n="[Table1].[Enrollment_Date].&amp;[non_date]" c="non_date"/>
            </range>
          </ranges>
        </level>
      </levels>
      <selections count="1">
        <selection n="[Table1].[Enrollment_Date].[All]"/>
      </selections>
    </olap>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ean_Enrollment_Date" xr10:uid="{3736AEC0-FCBF-48B5-AE0D-FE7C4E651DD5}" sourceName="[Table1].[Clean_Enrollment_Date]">
  <pivotTables>
    <pivotTable tabId="60" name="PivotTable17"/>
  </pivotTables>
  <data>
    <olap pivotCacheId="476197910">
      <levels count="2">
        <level uniqueName="[Table1].[Clean_Enrollment_Date].[(All)]" sourceCaption="(All)" count="0"/>
        <level uniqueName="[Table1].[Clean_Enrollment_Date].[Clean_Enrollment_Date]" sourceCaption="Clean_Enrollment_Date" count="186">
          <ranges>
            <range startItem="0">
              <i n="[Table1].[Clean_Enrollment_Date].&amp;[]" c=""/>
              <i n="[Table1].[Clean_Enrollment_Date].&amp;[Friday, August 1, 2025]" c="Friday, August 1, 2025"/>
              <i n="[Table1].[Clean_Enrollment_Date].&amp;[Friday, August 22, 2025]" c="Friday, August 22, 2025"/>
              <i n="[Table1].[Clean_Enrollment_Date].&amp;[Friday, August 29, 2025]" c="Friday, August 29, 2025"/>
              <i n="[Table1].[Clean_Enrollment_Date].&amp;[Friday, August 8, 2025]" c="Friday, August 8, 2025"/>
              <i n="[Table1].[Clean_Enrollment_Date].&amp;[Friday, December 12, 2025]" c="Friday, December 12, 2025"/>
              <i n="[Table1].[Clean_Enrollment_Date].&amp;[Friday, December 19, 2025]" c="Friday, December 19, 2025"/>
              <i n="[Table1].[Clean_Enrollment_Date].&amp;[Friday, December 5, 2025]" c="Friday, December 5, 2025"/>
              <i n="[Table1].[Clean_Enrollment_Date].&amp;[Friday, February 13, 2026]" c="Friday, February 13, 2026"/>
              <i n="[Table1].[Clean_Enrollment_Date].&amp;[Friday, February 20, 2026]" c="Friday, February 20, 2026"/>
              <i n="[Table1].[Clean_Enrollment_Date].&amp;[Friday, February 6, 2026]" c="Friday, February 6, 2026"/>
              <i n="[Table1].[Clean_Enrollment_Date].&amp;[Friday, January 16, 2026]" c="Friday, January 16, 2026"/>
              <i n="[Table1].[Clean_Enrollment_Date].&amp;[Friday, January 23, 2026]" c="Friday, January 23, 2026"/>
              <i n="[Table1].[Clean_Enrollment_Date].&amp;[Friday, January 30, 2026]" c="Friday, January 30, 2026"/>
              <i n="[Table1].[Clean_Enrollment_Date].&amp;[Friday, January 9, 2026]" c="Friday, January 9, 2026"/>
              <i n="[Table1].[Clean_Enrollment_Date].&amp;[Friday, July 10, 2026]" c="Friday, July 10, 2026"/>
              <i n="[Table1].[Clean_Enrollment_Date].&amp;[Friday, July 11, 2025]" c="Friday, July 11, 2025"/>
              <i n="[Table1].[Clean_Enrollment_Date].&amp;[Friday, July 17, 2026]" c="Friday, July 17, 2026"/>
              <i n="[Table1].[Clean_Enrollment_Date].&amp;[Friday, July 18, 2025]" c="Friday, July 18, 2025"/>
              <i n="[Table1].[Clean_Enrollment_Date].&amp;[Friday, July 4, 2025]" c="Friday, July 4, 2025"/>
              <i n="[Table1].[Clean_Enrollment_Date].&amp;[Friday, June 13, 2025]" c="Friday, June 13, 2025"/>
              <i n="[Table1].[Clean_Enrollment_Date].&amp;[Friday, June 20, 2025]" c="Friday, June 20, 2025"/>
              <i n="[Table1].[Clean_Enrollment_Date].&amp;[Friday, June 27, 2025]" c="Friday, June 27, 2025"/>
              <i n="[Table1].[Clean_Enrollment_Date].&amp;[Friday, March 13, 2026]" c="Friday, March 13, 2026"/>
              <i n="[Table1].[Clean_Enrollment_Date].&amp;[Friday, May 15, 2026]" c="Friday, May 15, 2026"/>
              <i n="[Table1].[Clean_Enrollment_Date].&amp;[Friday, May 22, 2026]" c="Friday, May 22, 2026"/>
              <i n="[Table1].[Clean_Enrollment_Date].&amp;[Friday, November 21, 2025]" c="Friday, November 21, 2025"/>
              <i n="[Table1].[Clean_Enrollment_Date].&amp;[Friday, November 28, 2025]" c="Friday, November 28, 2025"/>
              <i n="[Table1].[Clean_Enrollment_Date].&amp;[Monday, August 11, 2025]" c="Monday, August 11, 2025"/>
              <i n="[Table1].[Clean_Enrollment_Date].&amp;[Monday, August 18, 2025]" c="Monday, August 18, 2025"/>
              <i n="[Table1].[Clean_Enrollment_Date].&amp;[Monday, August 25, 2025]" c="Monday, August 25, 2025"/>
              <i n="[Table1].[Clean_Enrollment_Date].&amp;[Monday, August 4, 2025]" c="Monday, August 4, 2025"/>
              <i n="[Table1].[Clean_Enrollment_Date].&amp;[Monday, December 1, 2025]" c="Monday, December 1, 2025"/>
              <i n="[Table1].[Clean_Enrollment_Date].&amp;[Monday, December 15, 2025]" c="Monday, December 15, 2025"/>
              <i n="[Table1].[Clean_Enrollment_Date].&amp;[Monday, December 22, 2025]" c="Monday, December 22, 2025"/>
              <i n="[Table1].[Clean_Enrollment_Date].&amp;[Monday, December 8, 2025]" c="Monday, December 8, 2025"/>
              <i n="[Table1].[Clean_Enrollment_Date].&amp;[Monday, February 16, 2026]" c="Monday, February 16, 2026"/>
              <i n="[Table1].[Clean_Enrollment_Date].&amp;[Monday, February 2, 2026]" c="Monday, February 2, 2026"/>
              <i n="[Table1].[Clean_Enrollment_Date].&amp;[Monday, February 9, 2026]" c="Monday, February 9, 2026"/>
              <i n="[Table1].[Clean_Enrollment_Date].&amp;[Monday, January 12, 2026]" c="Monday, January 12, 2026"/>
              <i n="[Table1].[Clean_Enrollment_Date].&amp;[Monday, January 19, 2026]" c="Monday, January 19, 2026"/>
              <i n="[Table1].[Clean_Enrollment_Date].&amp;[Monday, January 26, 2026]" c="Monday, January 26, 2026"/>
              <i n="[Table1].[Clean_Enrollment_Date].&amp;[Monday, July 13, 2026]" c="Monday, July 13, 2026"/>
              <i n="[Table1].[Clean_Enrollment_Date].&amp;[Monday, July 14, 2025]" c="Monday, July 14, 2025"/>
              <i n="[Table1].[Clean_Enrollment_Date].&amp;[Monday, July 21, 2025]" c="Monday, July 21, 2025"/>
              <i n="[Table1].[Clean_Enrollment_Date].&amp;[Monday, July 7, 2025]" c="Monday, July 7, 2025"/>
              <i n="[Table1].[Clean_Enrollment_Date].&amp;[Monday, June 16, 2025]" c="Monday, June 16, 2025"/>
              <i n="[Table1].[Clean_Enrollment_Date].&amp;[Monday, June 23, 2025]" c="Monday, June 23, 2025"/>
              <i n="[Table1].[Clean_Enrollment_Date].&amp;[Monday, June 30, 2025]" c="Monday, June 30, 2025"/>
              <i n="[Table1].[Clean_Enrollment_Date].&amp;[Monday, June 9, 2025]" c="Monday, June 9, 2025"/>
              <i n="[Table1].[Clean_Enrollment_Date].&amp;[Monday, March 16, 2026]" c="Monday, March 16, 2026"/>
              <i n="[Table1].[Clean_Enrollment_Date].&amp;[Monday, May 18, 2026]" c="Monday, May 18, 2026"/>
              <i n="[Table1].[Clean_Enrollment_Date].&amp;[Monday, November 17, 2025]" c="Monday, November 17, 2025"/>
              <i n="[Table1].[Clean_Enrollment_Date].&amp;[Monday, November 24, 2025]" c="Monday, November 24, 2025"/>
              <i n="[Table1].[Clean_Enrollment_Date].&amp;[Saturday, August 2, 2025]" c="Saturday, August 2, 2025"/>
              <i n="[Table1].[Clean_Enrollment_Date].&amp;[Saturday, August 23, 2025]" c="Saturday, August 23, 2025"/>
              <i n="[Table1].[Clean_Enrollment_Date].&amp;[Saturday, August 30, 2025]" c="Saturday, August 30, 2025"/>
              <i n="[Table1].[Clean_Enrollment_Date].&amp;[Saturday, August 9, 2025]" c="Saturday, August 9, 2025"/>
              <i n="[Table1].[Clean_Enrollment_Date].&amp;[Saturday, December 13, 2025]" c="Saturday, December 13, 2025"/>
              <i n="[Table1].[Clean_Enrollment_Date].&amp;[Saturday, December 20, 2025]" c="Saturday, December 20, 2025"/>
              <i n="[Table1].[Clean_Enrollment_Date].&amp;[Saturday, December 6, 2025]" c="Saturday, December 6, 2025"/>
              <i n="[Table1].[Clean_Enrollment_Date].&amp;[Saturday, February 14, 2026]" c="Saturday, February 14, 2026"/>
              <i n="[Table1].[Clean_Enrollment_Date].&amp;[Saturday, February 7, 2026]" c="Saturday, February 7, 2026"/>
              <i n="[Table1].[Clean_Enrollment_Date].&amp;[Saturday, January 10, 2026]" c="Saturday, January 10, 2026"/>
              <i n="[Table1].[Clean_Enrollment_Date].&amp;[Saturday, January 17, 2026]" c="Saturday, January 17, 2026"/>
              <i n="[Table1].[Clean_Enrollment_Date].&amp;[Saturday, January 24, 2026]" c="Saturday, January 24, 2026"/>
              <i n="[Table1].[Clean_Enrollment_Date].&amp;[Saturday, January 31, 2026]" c="Saturday, January 31, 2026"/>
              <i n="[Table1].[Clean_Enrollment_Date].&amp;[Saturday, July 11, 2026]" c="Saturday, July 11, 2026"/>
              <i n="[Table1].[Clean_Enrollment_Date].&amp;[Saturday, July 12, 2025]" c="Saturday, July 12, 2025"/>
              <i n="[Table1].[Clean_Enrollment_Date].&amp;[Saturday, July 19, 2025]" c="Saturday, July 19, 2025"/>
              <i n="[Table1].[Clean_Enrollment_Date].&amp;[Saturday, July 5, 2025]" c="Saturday, July 5, 2025"/>
              <i n="[Table1].[Clean_Enrollment_Date].&amp;[Saturday, June 14, 2025]" c="Saturday, June 14, 2025"/>
              <i n="[Table1].[Clean_Enrollment_Date].&amp;[Saturday, June 21, 2025]" c="Saturday, June 21, 2025"/>
              <i n="[Table1].[Clean_Enrollment_Date].&amp;[Saturday, June 28, 2025]" c="Saturday, June 28, 2025"/>
              <i n="[Table1].[Clean_Enrollment_Date].&amp;[Saturday, March 14, 2026]" c="Saturday, March 14, 2026"/>
              <i n="[Table1].[Clean_Enrollment_Date].&amp;[Saturday, May 16, 2026]" c="Saturday, May 16, 2026"/>
              <i n="[Table1].[Clean_Enrollment_Date].&amp;[Saturday, May 23, 2026]" c="Saturday, May 23, 2026"/>
              <i n="[Table1].[Clean_Enrollment_Date].&amp;[Saturday, November 15, 2025]" c="Saturday, November 15, 2025"/>
              <i n="[Table1].[Clean_Enrollment_Date].&amp;[Saturday, November 22, 2025]" c="Saturday, November 22, 2025"/>
              <i n="[Table1].[Clean_Enrollment_Date].&amp;[Saturday, November 29, 2025]" c="Saturday, November 29, 2025"/>
              <i n="[Table1].[Clean_Enrollment_Date].&amp;[Saturday, November 8, 2025]" c="Saturday, November 8, 2025"/>
              <i n="[Table1].[Clean_Enrollment_Date].&amp;[Sunday, August 10, 2025]" c="Sunday, August 10, 2025"/>
              <i n="[Table1].[Clean_Enrollment_Date].&amp;[Sunday, August 24, 2025]" c="Sunday, August 24, 2025"/>
              <i n="[Table1].[Clean_Enrollment_Date].&amp;[Sunday, August 3, 2025]" c="Sunday, August 3, 2025"/>
              <i n="[Table1].[Clean_Enrollment_Date].&amp;[Sunday, August 31, 2025]" c="Sunday, August 31, 2025"/>
              <i n="[Table1].[Clean_Enrollment_Date].&amp;[Sunday, December 14, 2025]" c="Sunday, December 14, 2025"/>
              <i n="[Table1].[Clean_Enrollment_Date].&amp;[Sunday, December 21, 2025]" c="Sunday, December 21, 2025"/>
              <i n="[Table1].[Clean_Enrollment_Date].&amp;[Sunday, December 7, 2025]" c="Sunday, December 7, 2025"/>
              <i n="[Table1].[Clean_Enrollment_Date].&amp;[Sunday, February 1, 2026]" c="Sunday, February 1, 2026"/>
              <i n="[Table1].[Clean_Enrollment_Date].&amp;[Sunday, February 15, 2026]" c="Sunday, February 15, 2026"/>
              <i n="[Table1].[Clean_Enrollment_Date].&amp;[Sunday, February 8, 2026]" c="Sunday, February 8, 2026"/>
              <i n="[Table1].[Clean_Enrollment_Date].&amp;[Sunday, January 11, 2026]" c="Sunday, January 11, 2026"/>
              <i n="[Table1].[Clean_Enrollment_Date].&amp;[Sunday, January 18, 2026]" c="Sunday, January 18, 2026"/>
              <i n="[Table1].[Clean_Enrollment_Date].&amp;[Sunday, January 25, 2026]" c="Sunday, January 25, 2026"/>
              <i n="[Table1].[Clean_Enrollment_Date].&amp;[Sunday, July 12, 2026]" c="Sunday, July 12, 2026"/>
              <i n="[Table1].[Clean_Enrollment_Date].&amp;[Sunday, July 13, 2025]" c="Sunday, July 13, 2025"/>
              <i n="[Table1].[Clean_Enrollment_Date].&amp;[Sunday, July 20, 2025]" c="Sunday, July 20, 2025"/>
              <i n="[Table1].[Clean_Enrollment_Date].&amp;[Sunday, July 6, 2025]" c="Sunday, July 6, 2025"/>
              <i n="[Table1].[Clean_Enrollment_Date].&amp;[Sunday, June 15, 2025]" c="Sunday, June 15, 2025"/>
              <i n="[Table1].[Clean_Enrollment_Date].&amp;[Sunday, June 22, 2025]" c="Sunday, June 22, 2025"/>
              <i n="[Table1].[Clean_Enrollment_Date].&amp;[Sunday, June 29, 2025]" c="Sunday, June 29, 2025"/>
              <i n="[Table1].[Clean_Enrollment_Date].&amp;[Sunday, March 15, 2026]" c="Sunday, March 15, 2026"/>
              <i n="[Table1].[Clean_Enrollment_Date].&amp;[Sunday, May 17, 2026]" c="Sunday, May 17, 2026"/>
              <i n="[Table1].[Clean_Enrollment_Date].&amp;[Sunday, November 16, 2025]" c="Sunday, November 16, 2025"/>
              <i n="[Table1].[Clean_Enrollment_Date].&amp;[Sunday, November 23, 2025]" c="Sunday, November 23, 2025"/>
              <i n="[Table1].[Clean_Enrollment_Date].&amp;[Sunday, November 30, 2025]" c="Sunday, November 30, 2025"/>
              <i n="[Table1].[Clean_Enrollment_Date].&amp;[Thursday, August 21, 2025]" c="Thursday, August 21, 2025"/>
              <i n="[Table1].[Clean_Enrollment_Date].&amp;[Thursday, August 28, 2025]" c="Thursday, August 28, 2025"/>
              <i n="[Table1].[Clean_Enrollment_Date].&amp;[Thursday, August 7, 2025]" c="Thursday, August 7, 2025"/>
              <i n="[Table1].[Clean_Enrollment_Date].&amp;[Thursday, December 11, 2025]" c="Thursday, December 11, 2025"/>
              <i n="[Table1].[Clean_Enrollment_Date].&amp;[Thursday, December 18, 2025]" c="Thursday, December 18, 2025"/>
              <i n="[Table1].[Clean_Enrollment_Date].&amp;[Thursday, December 4, 2025]" c="Thursday, December 4, 2025"/>
              <i n="[Table1].[Clean_Enrollment_Date].&amp;[Thursday, February 12, 2026]" c="Thursday, February 12, 2026"/>
              <i n="[Table1].[Clean_Enrollment_Date].&amp;[Thursday, February 19, 2026]" c="Thursday, February 19, 2026"/>
              <i n="[Table1].[Clean_Enrollment_Date].&amp;[Thursday, February 5, 2026]" c="Thursday, February 5, 2026"/>
              <i n="[Table1].[Clean_Enrollment_Date].&amp;[Thursday, January 15, 2026]" c="Thursday, January 15, 2026"/>
              <i n="[Table1].[Clean_Enrollment_Date].&amp;[Thursday, January 22, 2026]" c="Thursday, January 22, 2026"/>
              <i n="[Table1].[Clean_Enrollment_Date].&amp;[Thursday, January 29, 2026]" c="Thursday, January 29, 2026"/>
              <i n="[Table1].[Clean_Enrollment_Date].&amp;[Thursday, January 8, 2026]" c="Thursday, January 8, 2026"/>
              <i n="[Table1].[Clean_Enrollment_Date].&amp;[Thursday, July 10, 2025]" c="Thursday, July 10, 2025"/>
              <i n="[Table1].[Clean_Enrollment_Date].&amp;[Thursday, July 16, 2026]" c="Thursday, July 16, 2026"/>
              <i n="[Table1].[Clean_Enrollment_Date].&amp;[Thursday, July 17, 2025]" c="Thursday, July 17, 2025"/>
              <i n="[Table1].[Clean_Enrollment_Date].&amp;[Thursday, July 24, 2025]" c="Thursday, July 24, 2025"/>
              <i n="[Table1].[Clean_Enrollment_Date].&amp;[Thursday, July 3, 2025]" c="Thursday, July 3, 2025"/>
              <i n="[Table1].[Clean_Enrollment_Date].&amp;[Thursday, July 31, 2025]" c="Thursday, July 31, 2025"/>
              <i n="[Table1].[Clean_Enrollment_Date].&amp;[Thursday, June 12, 2025]" c="Thursday, June 12, 2025"/>
              <i n="[Table1].[Clean_Enrollment_Date].&amp;[Thursday, June 19, 2025]" c="Thursday, June 19, 2025"/>
              <i n="[Table1].[Clean_Enrollment_Date].&amp;[Thursday, June 26, 2025]" c="Thursday, June 26, 2025"/>
              <i n="[Table1].[Clean_Enrollment_Date].&amp;[Thursday, March 12, 2026]" c="Thursday, March 12, 2026"/>
              <i n="[Table1].[Clean_Enrollment_Date].&amp;[Thursday, May 14, 2026]" c="Thursday, May 14, 2026"/>
              <i n="[Table1].[Clean_Enrollment_Date].&amp;[Thursday, May 21, 2026]" c="Thursday, May 21, 2026"/>
              <i n="[Table1].[Clean_Enrollment_Date].&amp;[Thursday, November 20, 2025]" c="Thursday, November 20, 2025"/>
              <i n="[Table1].[Clean_Enrollment_Date].&amp;[Thursday, November 27, 2025]" c="Thursday, November 27, 2025"/>
              <i n="[Table1].[Clean_Enrollment_Date].&amp;[Tuesday, August 12, 2025]" c="Tuesday, August 12, 2025"/>
              <i n="[Table1].[Clean_Enrollment_Date].&amp;[Tuesday, August 19, 2025]" c="Tuesday, August 19, 2025"/>
              <i n="[Table1].[Clean_Enrollment_Date].&amp;[Tuesday, August 26, 2025]" c="Tuesday, August 26, 2025"/>
              <i n="[Table1].[Clean_Enrollment_Date].&amp;[Tuesday, August 5, 2025]" c="Tuesday, August 5, 2025"/>
              <i n="[Table1].[Clean_Enrollment_Date].&amp;[Tuesday, December 16, 2025]" c="Tuesday, December 16, 2025"/>
              <i n="[Table1].[Clean_Enrollment_Date].&amp;[Tuesday, December 2, 2025]" c="Tuesday, December 2, 2025"/>
              <i n="[Table1].[Clean_Enrollment_Date].&amp;[Tuesday, December 23, 2025]" c="Tuesday, December 23, 2025"/>
              <i n="[Table1].[Clean_Enrollment_Date].&amp;[Tuesday, December 9, 2025]" c="Tuesday, December 9, 2025"/>
              <i n="[Table1].[Clean_Enrollment_Date].&amp;[Tuesday, February 10, 2026]" c="Tuesday, February 10, 2026"/>
              <i n="[Table1].[Clean_Enrollment_Date].&amp;[Tuesday, February 17, 2026]" c="Tuesday, February 17, 2026"/>
              <i n="[Table1].[Clean_Enrollment_Date].&amp;[Tuesday, February 3, 2026]" c="Tuesday, February 3, 2026"/>
              <i n="[Table1].[Clean_Enrollment_Date].&amp;[Tuesday, January 13, 2026]" c="Tuesday, January 13, 2026"/>
              <i n="[Table1].[Clean_Enrollment_Date].&amp;[Tuesday, January 20, 2026]" c="Tuesday, January 20, 2026"/>
              <i n="[Table1].[Clean_Enrollment_Date].&amp;[Tuesday, January 27, 2026]" c="Tuesday, January 27, 2026"/>
              <i n="[Table1].[Clean_Enrollment_Date].&amp;[Tuesday, January 6, 2026]" c="Tuesday, January 6, 2026"/>
              <i n="[Table1].[Clean_Enrollment_Date].&amp;[Tuesday, July 1, 2025]" c="Tuesday, July 1, 2025"/>
              <i n="[Table1].[Clean_Enrollment_Date].&amp;[Tuesday, July 14, 2026]" c="Tuesday, July 14, 2026"/>
              <i n="[Table1].[Clean_Enrollment_Date].&amp;[Tuesday, July 15, 2025]" c="Tuesday, July 15, 2025"/>
              <i n="[Table1].[Clean_Enrollment_Date].&amp;[Tuesday, July 22, 2025]" c="Tuesday, July 22, 2025"/>
              <i n="[Table1].[Clean_Enrollment_Date].&amp;[Tuesday, July 8, 2025]" c="Tuesday, July 8, 2025"/>
              <i n="[Table1].[Clean_Enrollment_Date].&amp;[Tuesday, June 10, 2025]" c="Tuesday, June 10, 2025"/>
              <i n="[Table1].[Clean_Enrollment_Date].&amp;[Tuesday, June 17, 2025]" c="Tuesday, June 17, 2025"/>
              <i n="[Table1].[Clean_Enrollment_Date].&amp;[Tuesday, June 24, 2025]" c="Tuesday, June 24, 2025"/>
              <i n="[Table1].[Clean_Enrollment_Date].&amp;[Tuesday, May 19, 2026]" c="Tuesday, May 19, 2026"/>
              <i n="[Table1].[Clean_Enrollment_Date].&amp;[Tuesday, November 18, 2025]" c="Tuesday, November 18, 2025"/>
              <i n="[Table1].[Clean_Enrollment_Date].&amp;[Tuesday, November 25, 2025]" c="Tuesday, November 25, 2025"/>
              <i n="[Table1].[Clean_Enrollment_Date].&amp;[Wednesday, August 13, 2025]" c="Wednesday, August 13, 2025"/>
              <i n="[Table1].[Clean_Enrollment_Date].&amp;[Wednesday, August 20, 2025]" c="Wednesday, August 20, 2025"/>
              <i n="[Table1].[Clean_Enrollment_Date].&amp;[Wednesday, August 27, 2025]" c="Wednesday, August 27, 2025"/>
              <i n="[Table1].[Clean_Enrollment_Date].&amp;[Wednesday, August 6, 2025]" c="Wednesday, August 6, 2025"/>
              <i n="[Table1].[Clean_Enrollment_Date].&amp;[Wednesday, December 10, 2025]" c="Wednesday, December 10, 2025"/>
              <i n="[Table1].[Clean_Enrollment_Date].&amp;[Wednesday, December 17, 2025]" c="Wednesday, December 17, 2025"/>
              <i n="[Table1].[Clean_Enrollment_Date].&amp;[Wednesday, December 24, 2025]" c="Wednesday, December 24, 2025"/>
              <i n="[Table1].[Clean_Enrollment_Date].&amp;[Wednesday, December 3, 2025]" c="Wednesday, December 3, 2025"/>
              <i n="[Table1].[Clean_Enrollment_Date].&amp;[Wednesday, February 11, 2026]" c="Wednesday, February 11, 2026"/>
              <i n="[Table1].[Clean_Enrollment_Date].&amp;[Wednesday, February 18, 2026]" c="Wednesday, February 18, 2026"/>
              <i n="[Table1].[Clean_Enrollment_Date].&amp;[Wednesday, February 4, 2026]" c="Wednesday, February 4, 2026"/>
              <i n="[Table1].[Clean_Enrollment_Date].&amp;[Wednesday, January 14, 2026]" c="Wednesday, January 14, 2026"/>
              <i n="[Table1].[Clean_Enrollment_Date].&amp;[Wednesday, January 21, 2026]" c="Wednesday, January 21, 2026"/>
              <i n="[Table1].[Clean_Enrollment_Date].&amp;[Wednesday, January 28, 2026]" c="Wednesday, January 28, 2026"/>
              <i n="[Table1].[Clean_Enrollment_Date].&amp;[Wednesday, January 7, 2026]" c="Wednesday, January 7, 2026"/>
              <i n="[Table1].[Clean_Enrollment_Date].&amp;[Wednesday, July 15, 2026]" c="Wednesday, July 15, 2026"/>
              <i n="[Table1].[Clean_Enrollment_Date].&amp;[Wednesday, July 16, 2025]" c="Wednesday, July 16, 2025"/>
              <i n="[Table1].[Clean_Enrollment_Date].&amp;[Wednesday, July 2, 2025]" c="Wednesday, July 2, 2025"/>
              <i n="[Table1].[Clean_Enrollment_Date].&amp;[Wednesday, July 23, 2025]" c="Wednesday, July 23, 2025"/>
              <i n="[Table1].[Clean_Enrollment_Date].&amp;[Wednesday, July 9, 2025]" c="Wednesday, July 9, 2025"/>
              <i n="[Table1].[Clean_Enrollment_Date].&amp;[Wednesday, June 11, 2025]" c="Wednesday, June 11, 2025"/>
              <i n="[Table1].[Clean_Enrollment_Date].&amp;[Wednesday, June 18, 2025]" c="Wednesday, June 18, 2025"/>
              <i n="[Table1].[Clean_Enrollment_Date].&amp;[Wednesday, June 25, 2025]" c="Wednesday, June 25, 2025"/>
              <i n="[Table1].[Clean_Enrollment_Date].&amp;[Wednesday, March 11, 2026]" c="Wednesday, March 11, 2026"/>
              <i n="[Table1].[Clean_Enrollment_Date].&amp;[Wednesday, May 20, 2026]" c="Wednesday, May 20, 2026"/>
              <i n="[Table1].[Clean_Enrollment_Date].&amp;[Wednesday, November 19, 2025]" c="Wednesday, November 19, 2025"/>
              <i n="[Table1].[Clean_Enrollment_Date].&amp;[Wednesday, November 26, 2025]" c="Wednesday, November 26, 2025"/>
            </range>
          </ranges>
        </level>
      </levels>
      <selections count="1">
        <selection n="[Table1].[Clean_Enrollment_D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nrollment_Status 1" xr10:uid="{931B6919-0DC7-4013-9E2E-C3B3E57AA735}" cache="Slicer_Enrollment_Status" caption="Enrollment_Status" rowHeight="230716"/>
  <slicer name="Gender 2" xr10:uid="{62F547B1-81AA-4239-ADA3-CBB95DA75C43}" cache="Slicer_Gender2" caption="Gender" rowHeight="230716"/>
  <slicer name="Program 4" xr10:uid="{41EDD32A-4F97-42D0-924C-26783A7F9149}" cache="Slicer_Program4" caption="Program" rowHeight="230716"/>
  <slicer name="Enrollment_Date 1" xr10:uid="{3E0E85C7-6B4A-4255-ACEF-8B37F7DD3603}" cache="Slicer_Enrollment_Date1" caption="Enrollment_Date" startItem="2" rowHeight="230716"/>
  <slicer name="Study_Mode 1" xr10:uid="{CAF376BD-B167-419F-A15A-3E0758727017}" cache="Slicer_Study_Mode1" caption="Study_Mode"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AB000B7-8875-454F-A934-46A22BBE5BC3}" cache="Slicer_Gender" caption="Gender"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gram" xr10:uid="{F9671C76-342B-442B-916D-0EAFEFF50640}" cache="Slicer_Program2" caption="Program" rowHeight="23071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nrollment_Status" xr10:uid="{0DBB124A-7E0C-456F-A3B8-14A23A83870F}" cache="Slicer_Enrollment_Status2" caption="Enrollment_Status" rowHeight="230716"/>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gram 1" xr10:uid="{78EEEDB2-5B22-4F13-8946-479809E93DB5}" cache="Slicer_Program2" caption="Program" rowHeight="230716"/>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nrollment_Date 2" xr10:uid="{6EB0F2F0-06F8-458E-A005-7EDB02939E53}" cache="Slicer_Enrollment_Date" caption="Enrollment_Date" startItem="106" level="1" rowHeight="230716"/>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0C2CACB0-13F6-4ECF-B92F-83EF99EEBB1E}" cache="Slicer_Gender" caption="Gender" rowHeight="230716"/>
  <slicer name="Program 2" xr10:uid="{D7DC6588-0977-4EDB-B47C-C71659BD46C6}" cache="Slicer_Program2" caption="Program" rowHeight="230716"/>
  <slicer name="Study_Mode 2" xr10:uid="{DD733011-3862-4EDE-97ED-E1D63BD7E470}" cache="Slicer_Study_Mode2" caption="Study_Mode" rowHeight="230716"/>
  <slicer name="Enrollment_Status 2" xr10:uid="{5F678F88-DCB8-46EF-9F5F-96519C80EC34}" cache="Slicer_Enrollment_Status2" caption="Enrollment_Status" rowHeight="230716"/>
  <slicer name="Enrollment_Date" xr10:uid="{A61C56BA-EC4D-4B68-80E7-22D86F449592}" cache="Slicer_Enrollment_Date" caption="Enrollment_Date" level="1" rowHeight="230716"/>
  <slicer name="Clean_Enrollment_Date" xr10:uid="{F5C2A860-6029-40E9-B51B-B7439370FF7D}" cache="Slicer_Clean_Enrollment_Date" caption="Clean_Enrollment_Date" level="1" rowHeight="230716"/>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udy_Mode" xr10:uid="{C4B1D66D-FB16-4F73-B613-ECC23590F75D}" cache="Slicer_Study_Mode2" caption="Study_Mode"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64184C-D916-4AAB-BD2F-3233C710534C}" name="Table1" displayName="Table1" ref="A1:J301" totalsRowShown="0" headerRowDxfId="189">
  <autoFilter ref="A1:J301" xr:uid="{7A64184C-D916-4AAB-BD2F-3233C710534C}">
    <filterColumn colId="3">
      <filters>
        <dateGroupItem year="2026" dateTimeGrouping="year"/>
        <dateGroupItem year="2025" dateTimeGrouping="year"/>
      </filters>
    </filterColumn>
  </autoFilter>
  <sortState xmlns:xlrd2="http://schemas.microsoft.com/office/spreadsheetml/2017/richdata2" ref="A2:G301">
    <sortCondition ref="A1:A301"/>
  </sortState>
  <tableColumns count="10">
    <tableColumn id="1" xr3:uid="{E0A6E9F0-B80D-43D1-B30D-C460D5D8C489}" name="Student_ID"/>
    <tableColumn id="2" xr3:uid="{46941BF5-3780-4F49-B055-86413C15D786}" name="Gender"/>
    <tableColumn id="3" xr3:uid="{40213E59-777C-4108-83CA-6C19FF4C9E9F}" name="Program"/>
    <tableColumn id="4" xr3:uid="{728DD280-B54D-4F95-9F0C-F0AC264B9D73}" name="Enrollment_Date" dataDxfId="188"/>
    <tableColumn id="5" xr3:uid="{D494BB93-AC1C-4A7A-9727-94C39518483B}" name="Study_Mode"/>
    <tableColumn id="6" xr3:uid="{2AB1360A-EBE8-4391-8F22-8A4B4E2334AE}" name="Tuition_Fee" dataDxfId="187"/>
    <tableColumn id="7" xr3:uid="{8C67F320-01E8-4CBF-B197-F81D0F10C7C1}" name="Enrollment_Status"/>
    <tableColumn id="8" xr3:uid="{B5D8FBA2-A1A5-4C57-9B92-EDA3E69A084B}" name="Year" dataDxfId="186">
      <calculatedColumnFormula>YEAR(Table1[[#This Row],[Enrollment_Date]])</calculatedColumnFormula>
    </tableColumn>
    <tableColumn id="9" xr3:uid="{EAB02B05-B7FB-48D9-B636-8BC624287A01}" name="Monthly" dataDxfId="185">
      <calculatedColumnFormula>MONTH(Table1[[#This Row],[Enrollment_Date]])</calculatedColumnFormula>
    </tableColumn>
    <tableColumn id="10" xr3:uid="{271995FB-8302-48C0-959E-FFC07AC3DAF4}" name="Clean_Enrollment_Date" dataDxfId="184">
      <calculatedColumnFormula>IF(ISNUMBER(D2),D2,"")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1.xml"/></Relationships>
</file>

<file path=xl/worksheets/_rels/sheet15.xml.rels><?xml version="1.0" encoding="UTF-8" standalone="yes"?>
<Relationships xmlns="http://schemas.openxmlformats.org/package/2006/relationships"><Relationship Id="rId3" Type="http://schemas.microsoft.com/office/2007/relationships/slicer" Target="../slicers/slicer8.xml"/><Relationship Id="rId2" Type="http://schemas.openxmlformats.org/officeDocument/2006/relationships/drawing" Target="../drawings/drawing11.xml"/><Relationship Id="rId1" Type="http://schemas.openxmlformats.org/officeDocument/2006/relationships/pivotTable" Target="../pivotTables/pivotTable12.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5"/>
  <sheetViews>
    <sheetView topLeftCell="A13" workbookViewId="0"/>
  </sheetViews>
  <sheetFormatPr defaultRowHeight="14"/>
  <cols>
    <col min="1" max="1" width="6" customWidth="1"/>
    <col min="2" max="2" width="25" customWidth="1"/>
    <col min="3" max="3" width="52" customWidth="1"/>
    <col min="4" max="7" width="18" customWidth="1"/>
    <col min="9" max="9" width="42" customWidth="1"/>
  </cols>
  <sheetData>
    <row r="1" spans="1:9">
      <c r="A1" s="1" t="s">
        <v>0</v>
      </c>
      <c r="B1" s="1" t="s">
        <v>1</v>
      </c>
      <c r="C1" s="1" t="s">
        <v>2</v>
      </c>
      <c r="D1" s="1" t="s">
        <v>3</v>
      </c>
      <c r="E1" s="1" t="s">
        <v>4</v>
      </c>
      <c r="F1" s="1" t="s">
        <v>5</v>
      </c>
      <c r="G1" s="1" t="s">
        <v>6</v>
      </c>
      <c r="I1" s="6" t="s">
        <v>7</v>
      </c>
    </row>
    <row r="2" spans="1:9" ht="42">
      <c r="A2" s="2">
        <v>1</v>
      </c>
      <c r="B2" s="2" t="s">
        <v>8</v>
      </c>
      <c r="C2" s="2" t="s">
        <v>9</v>
      </c>
      <c r="D2" s="2" t="s">
        <v>10</v>
      </c>
      <c r="E2" s="2">
        <v>300</v>
      </c>
      <c r="F2" s="2">
        <v>7</v>
      </c>
      <c r="G2" s="2" t="s">
        <v>11</v>
      </c>
      <c r="I2" s="2" t="s">
        <v>12</v>
      </c>
    </row>
    <row r="3" spans="1:9" ht="28">
      <c r="A3" s="2">
        <v>2</v>
      </c>
      <c r="B3" s="2" t="s">
        <v>13</v>
      </c>
      <c r="C3" s="2" t="s">
        <v>14</v>
      </c>
      <c r="D3" s="2" t="s">
        <v>15</v>
      </c>
      <c r="E3" s="2">
        <v>300</v>
      </c>
      <c r="F3" s="2">
        <v>7</v>
      </c>
      <c r="G3" s="2" t="s">
        <v>11</v>
      </c>
    </row>
    <row r="4" spans="1:9">
      <c r="A4" s="2">
        <v>3</v>
      </c>
      <c r="B4" s="2" t="s">
        <v>16</v>
      </c>
      <c r="C4" s="2" t="s">
        <v>17</v>
      </c>
      <c r="D4" s="2" t="s">
        <v>18</v>
      </c>
      <c r="E4" s="2">
        <v>300</v>
      </c>
      <c r="F4" s="2">
        <v>7</v>
      </c>
      <c r="G4" s="2" t="s">
        <v>11</v>
      </c>
    </row>
    <row r="5" spans="1:9">
      <c r="A5" s="2">
        <v>4</v>
      </c>
      <c r="B5" s="2" t="s">
        <v>19</v>
      </c>
      <c r="C5" s="2" t="s">
        <v>20</v>
      </c>
      <c r="D5" s="2" t="s">
        <v>21</v>
      </c>
      <c r="E5" s="2">
        <v>300</v>
      </c>
      <c r="F5" s="2">
        <v>7</v>
      </c>
      <c r="G5" s="2" t="s">
        <v>11</v>
      </c>
    </row>
    <row r="6" spans="1:9">
      <c r="A6" s="2">
        <v>5</v>
      </c>
      <c r="B6" s="2" t="s">
        <v>22</v>
      </c>
      <c r="C6" s="2" t="s">
        <v>23</v>
      </c>
      <c r="D6" s="2"/>
      <c r="E6" s="2">
        <v>0</v>
      </c>
      <c r="F6" s="2">
        <v>0</v>
      </c>
      <c r="G6" s="2" t="s">
        <v>24</v>
      </c>
    </row>
    <row r="7" spans="1:9">
      <c r="A7" s="2">
        <v>6</v>
      </c>
      <c r="B7" s="2" t="s">
        <v>25</v>
      </c>
      <c r="C7" s="2" t="s">
        <v>26</v>
      </c>
      <c r="D7" s="2" t="s">
        <v>27</v>
      </c>
      <c r="E7" s="2">
        <v>300</v>
      </c>
      <c r="F7" s="2">
        <v>7</v>
      </c>
      <c r="G7" s="2" t="s">
        <v>11</v>
      </c>
    </row>
    <row r="8" spans="1:9">
      <c r="A8" s="2">
        <v>7</v>
      </c>
      <c r="B8" s="2" t="s">
        <v>28</v>
      </c>
      <c r="C8" s="2" t="s">
        <v>29</v>
      </c>
      <c r="D8" s="2" t="s">
        <v>30</v>
      </c>
      <c r="E8" s="2">
        <v>300</v>
      </c>
      <c r="F8" s="2">
        <v>7</v>
      </c>
      <c r="G8" s="2" t="s">
        <v>11</v>
      </c>
    </row>
    <row r="9" spans="1:9">
      <c r="A9" s="2">
        <v>8</v>
      </c>
      <c r="B9" s="2" t="s">
        <v>31</v>
      </c>
      <c r="C9" s="2" t="s">
        <v>32</v>
      </c>
      <c r="D9" s="2" t="s">
        <v>33</v>
      </c>
      <c r="E9" s="2">
        <v>300</v>
      </c>
      <c r="F9" s="2">
        <v>7</v>
      </c>
      <c r="G9" s="2" t="s">
        <v>11</v>
      </c>
    </row>
    <row r="10" spans="1:9">
      <c r="A10" s="2">
        <v>9</v>
      </c>
      <c r="B10" s="2" t="s">
        <v>34</v>
      </c>
      <c r="C10" s="2" t="s">
        <v>35</v>
      </c>
      <c r="D10" s="2" t="s">
        <v>36</v>
      </c>
      <c r="E10" s="2">
        <v>300</v>
      </c>
      <c r="F10" s="2">
        <v>7</v>
      </c>
      <c r="G10" s="2" t="s">
        <v>11</v>
      </c>
    </row>
    <row r="11" spans="1:9">
      <c r="A11" s="2">
        <v>10</v>
      </c>
      <c r="B11" s="2" t="s">
        <v>37</v>
      </c>
      <c r="C11" s="2" t="s">
        <v>38</v>
      </c>
      <c r="D11" s="2" t="s">
        <v>39</v>
      </c>
      <c r="E11" s="2">
        <v>300</v>
      </c>
      <c r="F11" s="2">
        <v>7</v>
      </c>
      <c r="G11" s="2" t="s">
        <v>11</v>
      </c>
    </row>
    <row r="12" spans="1:9">
      <c r="A12" s="2">
        <v>11</v>
      </c>
      <c r="B12" s="2" t="s">
        <v>40</v>
      </c>
      <c r="C12" s="2" t="s">
        <v>41</v>
      </c>
      <c r="D12" s="2" t="s">
        <v>42</v>
      </c>
      <c r="E12" s="2">
        <v>300</v>
      </c>
      <c r="F12" s="2">
        <v>7</v>
      </c>
      <c r="G12" s="2" t="s">
        <v>11</v>
      </c>
    </row>
    <row r="13" spans="1:9">
      <c r="A13" s="2">
        <v>12</v>
      </c>
      <c r="B13" s="2" t="s">
        <v>43</v>
      </c>
      <c r="C13" s="2" t="s">
        <v>44</v>
      </c>
      <c r="D13" s="2" t="s">
        <v>45</v>
      </c>
      <c r="E13" s="2">
        <v>300</v>
      </c>
      <c r="F13" s="2">
        <v>7</v>
      </c>
      <c r="G13" s="2" t="s">
        <v>11</v>
      </c>
    </row>
    <row r="14" spans="1:9">
      <c r="A14" s="2">
        <v>13</v>
      </c>
      <c r="B14" s="2" t="s">
        <v>46</v>
      </c>
      <c r="C14" s="2" t="s">
        <v>47</v>
      </c>
      <c r="D14" s="2" t="s">
        <v>48</v>
      </c>
      <c r="E14" s="2">
        <v>300</v>
      </c>
      <c r="F14" s="2">
        <v>7</v>
      </c>
      <c r="G14" s="2" t="s">
        <v>11</v>
      </c>
    </row>
    <row r="15" spans="1:9">
      <c r="A15" s="2">
        <v>14</v>
      </c>
      <c r="B15" s="2" t="s">
        <v>49</v>
      </c>
      <c r="C15" s="2" t="s">
        <v>50</v>
      </c>
      <c r="D15" s="2" t="s">
        <v>51</v>
      </c>
      <c r="E15" s="2">
        <v>300</v>
      </c>
      <c r="F15" s="2">
        <v>7</v>
      </c>
      <c r="G15" s="2" t="s">
        <v>11</v>
      </c>
    </row>
    <row r="16" spans="1:9">
      <c r="A16" s="2">
        <v>15</v>
      </c>
      <c r="B16" s="2" t="s">
        <v>52</v>
      </c>
      <c r="C16" s="2" t="s">
        <v>53</v>
      </c>
      <c r="D16" s="2" t="s">
        <v>54</v>
      </c>
      <c r="E16" s="2">
        <v>300</v>
      </c>
      <c r="F16" s="2">
        <v>7</v>
      </c>
      <c r="G16" s="2" t="s">
        <v>11</v>
      </c>
    </row>
    <row r="17" spans="1:7">
      <c r="A17" s="2">
        <v>16</v>
      </c>
      <c r="B17" s="2" t="s">
        <v>55</v>
      </c>
      <c r="C17" s="2" t="s">
        <v>56</v>
      </c>
      <c r="D17" s="2" t="s">
        <v>57</v>
      </c>
      <c r="E17" s="2">
        <v>300</v>
      </c>
      <c r="F17" s="2">
        <v>7</v>
      </c>
      <c r="G17" s="2" t="s">
        <v>11</v>
      </c>
    </row>
    <row r="18" spans="1:7">
      <c r="A18" s="2">
        <v>17</v>
      </c>
      <c r="B18" s="2" t="s">
        <v>58</v>
      </c>
      <c r="C18" s="2" t="s">
        <v>59</v>
      </c>
      <c r="D18" s="2" t="s">
        <v>60</v>
      </c>
      <c r="E18" s="2">
        <v>300</v>
      </c>
      <c r="F18" s="2">
        <v>7</v>
      </c>
      <c r="G18" s="2" t="s">
        <v>11</v>
      </c>
    </row>
    <row r="19" spans="1:7">
      <c r="A19" s="2">
        <v>18</v>
      </c>
      <c r="B19" s="2" t="s">
        <v>61</v>
      </c>
      <c r="C19" s="2" t="s">
        <v>62</v>
      </c>
      <c r="D19" s="2" t="s">
        <v>63</v>
      </c>
      <c r="E19" s="2">
        <v>300</v>
      </c>
      <c r="F19" s="2">
        <v>7</v>
      </c>
      <c r="G19" s="2" t="s">
        <v>11</v>
      </c>
    </row>
    <row r="20" spans="1:7">
      <c r="A20" s="2">
        <v>19</v>
      </c>
      <c r="B20" s="2" t="s">
        <v>64</v>
      </c>
      <c r="C20" s="2" t="s">
        <v>65</v>
      </c>
      <c r="D20" s="2" t="s">
        <v>66</v>
      </c>
      <c r="E20" s="2">
        <v>300</v>
      </c>
      <c r="F20" s="2">
        <v>7</v>
      </c>
      <c r="G20" s="2" t="s">
        <v>11</v>
      </c>
    </row>
    <row r="21" spans="1:7">
      <c r="A21" s="2">
        <v>20</v>
      </c>
      <c r="B21" s="2" t="s">
        <v>67</v>
      </c>
      <c r="C21" s="2" t="s">
        <v>68</v>
      </c>
      <c r="D21" s="2" t="s">
        <v>69</v>
      </c>
      <c r="E21" s="2">
        <v>300</v>
      </c>
      <c r="F21" s="2">
        <v>7</v>
      </c>
      <c r="G21" s="2" t="s">
        <v>11</v>
      </c>
    </row>
    <row r="22" spans="1:7">
      <c r="A22" s="2">
        <v>21</v>
      </c>
      <c r="B22" s="2" t="s">
        <v>70</v>
      </c>
      <c r="C22" s="2" t="s">
        <v>71</v>
      </c>
      <c r="D22" s="2" t="s">
        <v>72</v>
      </c>
      <c r="E22" s="2">
        <v>300</v>
      </c>
      <c r="F22" s="2">
        <v>7</v>
      </c>
      <c r="G22" s="2" t="s">
        <v>11</v>
      </c>
    </row>
    <row r="23" spans="1:7">
      <c r="A23" s="2">
        <v>22</v>
      </c>
      <c r="B23" s="2" t="s">
        <v>73</v>
      </c>
      <c r="C23" s="2" t="s">
        <v>74</v>
      </c>
      <c r="D23" s="2" t="s">
        <v>75</v>
      </c>
      <c r="E23" s="2">
        <v>300</v>
      </c>
      <c r="F23" s="2">
        <v>7</v>
      </c>
      <c r="G23" s="2" t="s">
        <v>11</v>
      </c>
    </row>
    <row r="24" spans="1:7">
      <c r="A24" s="2">
        <v>23</v>
      </c>
      <c r="B24" s="2" t="s">
        <v>76</v>
      </c>
      <c r="C24" s="2" t="s">
        <v>77</v>
      </c>
      <c r="D24" s="2" t="s">
        <v>78</v>
      </c>
      <c r="E24" s="2">
        <v>300</v>
      </c>
      <c r="F24" s="2">
        <v>7</v>
      </c>
      <c r="G24" s="2" t="s">
        <v>11</v>
      </c>
    </row>
    <row r="25" spans="1:7">
      <c r="A25" s="2">
        <v>24</v>
      </c>
      <c r="B25" s="2" t="s">
        <v>79</v>
      </c>
      <c r="C25" s="2" t="s">
        <v>80</v>
      </c>
      <c r="D25" s="2" t="s">
        <v>81</v>
      </c>
      <c r="E25" s="2">
        <v>300</v>
      </c>
      <c r="F25" s="2">
        <v>7</v>
      </c>
      <c r="G25" s="2"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3786B-579B-4EEE-B452-80C565471FF7}">
  <dimension ref="B8:Q20"/>
  <sheetViews>
    <sheetView workbookViewId="0">
      <selection activeCell="B17" sqref="B17:G19"/>
    </sheetView>
  </sheetViews>
  <sheetFormatPr defaultRowHeight="14"/>
  <sheetData>
    <row r="8" spans="2:17" ht="14" customHeight="1">
      <c r="B8" s="19" t="s">
        <v>430</v>
      </c>
      <c r="C8" s="19"/>
      <c r="D8" s="19"/>
      <c r="E8" s="19"/>
      <c r="F8" s="19"/>
      <c r="G8" s="19"/>
      <c r="H8" s="19"/>
      <c r="I8" s="19"/>
      <c r="J8" s="19"/>
      <c r="K8" s="19"/>
      <c r="L8" s="19"/>
      <c r="M8" s="19"/>
      <c r="N8" s="19"/>
      <c r="O8" s="19"/>
      <c r="P8" s="19"/>
      <c r="Q8" s="19"/>
    </row>
    <row r="9" spans="2:17" ht="14" customHeight="1">
      <c r="B9" s="19"/>
      <c r="C9" s="19"/>
      <c r="D9" s="19"/>
      <c r="E9" s="19"/>
      <c r="F9" s="19"/>
      <c r="G9" s="19"/>
      <c r="H9" s="19"/>
      <c r="I9" s="19"/>
      <c r="J9" s="19"/>
      <c r="K9" s="19"/>
      <c r="L9" s="19"/>
      <c r="M9" s="19"/>
      <c r="N9" s="19"/>
      <c r="O9" s="19"/>
      <c r="P9" s="19"/>
      <c r="Q9" s="19"/>
    </row>
    <row r="10" spans="2:17" ht="14" customHeight="1">
      <c r="B10" s="19"/>
      <c r="C10" s="19"/>
      <c r="D10" s="19"/>
      <c r="E10" s="19"/>
      <c r="F10" s="19"/>
      <c r="G10" s="19"/>
      <c r="H10" s="19"/>
      <c r="I10" s="19"/>
      <c r="J10" s="19"/>
      <c r="K10" s="19"/>
      <c r="L10" s="19"/>
      <c r="M10" s="19"/>
      <c r="N10" s="19"/>
      <c r="O10" s="19"/>
      <c r="P10" s="19"/>
      <c r="Q10" s="19"/>
    </row>
    <row r="11" spans="2:17">
      <c r="B11" s="20"/>
      <c r="C11" s="20"/>
      <c r="D11" s="20"/>
      <c r="E11" s="20"/>
      <c r="F11" s="20"/>
      <c r="G11" s="20"/>
      <c r="H11" s="20"/>
      <c r="I11" s="20"/>
      <c r="J11" s="20"/>
      <c r="K11" s="20"/>
      <c r="L11" s="20"/>
      <c r="M11" s="20"/>
      <c r="N11" s="20"/>
    </row>
    <row r="12" spans="2:17">
      <c r="B12" s="21">
        <f>COUNTA(#REF!)</f>
        <v>1</v>
      </c>
      <c r="C12" s="21"/>
      <c r="D12" s="21"/>
      <c r="E12" s="22" t="e">
        <f>COUNTIF(#REF!,"Active")</f>
        <v>#REF!</v>
      </c>
      <c r="F12" s="22"/>
      <c r="G12" s="22"/>
      <c r="I12" s="21" t="e">
        <f>COUNTIF(#REF!,"Graduated")</f>
        <v>#REF!</v>
      </c>
      <c r="J12" s="21"/>
      <c r="K12" s="21"/>
      <c r="L12" s="22" t="e">
        <f>COUNTIF(#REF!,"Withdrawn")</f>
        <v>#REF!</v>
      </c>
      <c r="M12" s="22"/>
      <c r="N12" s="22"/>
    </row>
    <row r="13" spans="2:17">
      <c r="B13" s="21"/>
      <c r="C13" s="21"/>
      <c r="D13" s="21"/>
      <c r="E13" s="22"/>
      <c r="F13" s="22"/>
      <c r="G13" s="22"/>
      <c r="I13" s="21"/>
      <c r="J13" s="21"/>
      <c r="K13" s="21"/>
      <c r="L13" s="22"/>
      <c r="M13" s="22"/>
      <c r="N13" s="22"/>
    </row>
    <row r="14" spans="2:17">
      <c r="B14" s="25" t="s">
        <v>424</v>
      </c>
      <c r="C14" s="20"/>
      <c r="D14" s="20"/>
      <c r="E14" s="26" t="s">
        <v>425</v>
      </c>
      <c r="F14" s="27"/>
      <c r="G14" s="27"/>
      <c r="I14" s="25" t="s">
        <v>426</v>
      </c>
      <c r="J14" s="25"/>
      <c r="K14" s="25"/>
      <c r="L14" s="26" t="s">
        <v>427</v>
      </c>
      <c r="M14" s="26"/>
      <c r="N14" s="26"/>
    </row>
    <row r="17" spans="2:14">
      <c r="B17" s="23" t="e">
        <f>SUM(#REF!)</f>
        <v>#REF!</v>
      </c>
      <c r="C17" s="23"/>
      <c r="D17" s="23"/>
      <c r="E17" s="23"/>
      <c r="F17" s="23"/>
      <c r="G17" s="23"/>
      <c r="I17" s="24" t="e">
        <f>AVERAGE(#REF!)</f>
        <v>#REF!</v>
      </c>
      <c r="J17" s="24"/>
      <c r="K17" s="24"/>
      <c r="L17" s="24"/>
      <c r="M17" s="24"/>
      <c r="N17" s="24"/>
    </row>
    <row r="18" spans="2:14">
      <c r="B18" s="23"/>
      <c r="C18" s="23"/>
      <c r="D18" s="23"/>
      <c r="E18" s="23"/>
      <c r="F18" s="23"/>
      <c r="G18" s="23"/>
      <c r="I18" s="24"/>
      <c r="J18" s="24"/>
      <c r="K18" s="24"/>
      <c r="L18" s="24"/>
      <c r="M18" s="24"/>
      <c r="N18" s="24"/>
    </row>
    <row r="19" spans="2:14">
      <c r="B19" s="23"/>
      <c r="C19" s="23"/>
      <c r="D19" s="23"/>
      <c r="E19" s="23"/>
      <c r="F19" s="23"/>
      <c r="G19" s="23"/>
      <c r="I19" s="24"/>
      <c r="J19" s="24"/>
      <c r="K19" s="24"/>
      <c r="L19" s="24"/>
      <c r="M19" s="24"/>
      <c r="N19" s="24"/>
    </row>
    <row r="20" spans="2:14">
      <c r="B20" s="25" t="s">
        <v>428</v>
      </c>
      <c r="C20" s="25"/>
      <c r="D20" s="25"/>
      <c r="E20" s="25"/>
      <c r="F20" s="25"/>
      <c r="G20" s="25"/>
      <c r="I20" s="25" t="s">
        <v>429</v>
      </c>
      <c r="J20" s="25"/>
      <c r="K20" s="25"/>
      <c r="L20" s="25"/>
      <c r="M20" s="25"/>
      <c r="N20" s="25"/>
    </row>
  </sheetData>
  <mergeCells count="14">
    <mergeCell ref="B17:G19"/>
    <mergeCell ref="I17:N19"/>
    <mergeCell ref="B20:G20"/>
    <mergeCell ref="I20:N20"/>
    <mergeCell ref="B14:D14"/>
    <mergeCell ref="E14:G14"/>
    <mergeCell ref="I14:K14"/>
    <mergeCell ref="L14:N14"/>
    <mergeCell ref="B8:Q10"/>
    <mergeCell ref="B11:N11"/>
    <mergeCell ref="B12:D13"/>
    <mergeCell ref="E12:G13"/>
    <mergeCell ref="I12:K13"/>
    <mergeCell ref="L12:N1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FF6F6-2CEA-4492-8738-C0F147956942}">
  <dimension ref="A3:B7"/>
  <sheetViews>
    <sheetView workbookViewId="0">
      <selection activeCell="L14" sqref="L14"/>
    </sheetView>
  </sheetViews>
  <sheetFormatPr defaultRowHeight="14"/>
  <cols>
    <col min="1" max="1" width="12.9140625" bestFit="1" customWidth="1"/>
    <col min="2" max="2" width="18.1640625" bestFit="1" customWidth="1"/>
  </cols>
  <sheetData>
    <row r="3" spans="1:2">
      <c r="A3" s="7" t="s">
        <v>406</v>
      </c>
      <c r="B3" t="s">
        <v>407</v>
      </c>
    </row>
    <row r="4" spans="1:2">
      <c r="A4" s="8" t="s">
        <v>90</v>
      </c>
      <c r="B4" s="29">
        <v>148</v>
      </c>
    </row>
    <row r="5" spans="1:2">
      <c r="A5" s="8" t="s">
        <v>100</v>
      </c>
      <c r="B5" s="29">
        <v>136</v>
      </c>
    </row>
    <row r="6" spans="1:2">
      <c r="A6" s="8" t="s">
        <v>455</v>
      </c>
      <c r="B6" s="29">
        <v>16</v>
      </c>
    </row>
    <row r="7" spans="1:2">
      <c r="A7" s="8" t="s">
        <v>405</v>
      </c>
      <c r="B7" s="29">
        <v>300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3F8AC-6808-475D-90AD-A4F3FADA5828}">
  <dimension ref="A3:B11"/>
  <sheetViews>
    <sheetView workbookViewId="0">
      <selection activeCell="I35" sqref="I35"/>
    </sheetView>
  </sheetViews>
  <sheetFormatPr defaultRowHeight="14"/>
  <cols>
    <col min="1" max="1" width="20.08203125" bestFit="1" customWidth="1"/>
    <col min="2" max="2" width="18.1640625" bestFit="1" customWidth="1"/>
  </cols>
  <sheetData>
    <row r="3" spans="1:2">
      <c r="A3" s="7" t="s">
        <v>406</v>
      </c>
      <c r="B3" t="s">
        <v>407</v>
      </c>
    </row>
    <row r="4" spans="1:2">
      <c r="A4" s="8" t="s">
        <v>97</v>
      </c>
      <c r="B4" s="29">
        <v>47</v>
      </c>
    </row>
    <row r="5" spans="1:2">
      <c r="A5" s="8" t="s">
        <v>91</v>
      </c>
      <c r="B5" s="29">
        <v>74</v>
      </c>
    </row>
    <row r="6" spans="1:2">
      <c r="A6" s="8" t="s">
        <v>115</v>
      </c>
      <c r="B6" s="29">
        <v>65</v>
      </c>
    </row>
    <row r="7" spans="1:2">
      <c r="A7" s="8" t="s">
        <v>110</v>
      </c>
      <c r="B7" s="29">
        <v>25</v>
      </c>
    </row>
    <row r="8" spans="1:2">
      <c r="A8" s="8" t="s">
        <v>101</v>
      </c>
      <c r="B8" s="29">
        <v>37</v>
      </c>
    </row>
    <row r="9" spans="1:2">
      <c r="A9" s="8" t="s">
        <v>456</v>
      </c>
      <c r="B9" s="29">
        <v>17</v>
      </c>
    </row>
    <row r="10" spans="1:2">
      <c r="A10" s="8" t="s">
        <v>95</v>
      </c>
      <c r="B10" s="29">
        <v>35</v>
      </c>
    </row>
    <row r="11" spans="1:2">
      <c r="A11" s="8" t="s">
        <v>405</v>
      </c>
      <c r="B11" s="29">
        <v>300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3BC69-C814-457F-8E07-1BC7F2B48003}">
  <dimension ref="A3:B9"/>
  <sheetViews>
    <sheetView workbookViewId="0">
      <selection activeCell="F9" sqref="F9"/>
    </sheetView>
  </sheetViews>
  <sheetFormatPr defaultRowHeight="14"/>
  <cols>
    <col min="1" max="1" width="12.9140625" bestFit="1" customWidth="1"/>
    <col min="2" max="2" width="18.1640625" bestFit="1" customWidth="1"/>
  </cols>
  <sheetData>
    <row r="3" spans="1:2">
      <c r="A3" s="7" t="s">
        <v>406</v>
      </c>
      <c r="B3" t="s">
        <v>407</v>
      </c>
    </row>
    <row r="4" spans="1:2">
      <c r="A4" s="8" t="s">
        <v>107</v>
      </c>
      <c r="B4" s="29">
        <v>175</v>
      </c>
    </row>
    <row r="5" spans="1:2">
      <c r="A5" s="8" t="s">
        <v>148</v>
      </c>
      <c r="B5" s="29">
        <v>27</v>
      </c>
    </row>
    <row r="6" spans="1:2">
      <c r="A6" s="8" t="s">
        <v>93</v>
      </c>
      <c r="B6" s="29">
        <v>64</v>
      </c>
    </row>
    <row r="7" spans="1:2">
      <c r="A7" s="8" t="s">
        <v>461</v>
      </c>
      <c r="B7" s="29">
        <v>18</v>
      </c>
    </row>
    <row r="8" spans="1:2">
      <c r="A8" s="8" t="s">
        <v>104</v>
      </c>
      <c r="B8" s="29">
        <v>16</v>
      </c>
    </row>
    <row r="9" spans="1:2">
      <c r="A9" s="8" t="s">
        <v>405</v>
      </c>
      <c r="B9" s="29">
        <v>300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2CA34-6FE8-498A-BEAC-FC619C41F9B8}">
  <dimension ref="A3:B11"/>
  <sheetViews>
    <sheetView workbookViewId="0">
      <selection activeCell="L20" sqref="L20"/>
    </sheetView>
  </sheetViews>
  <sheetFormatPr defaultRowHeight="14"/>
  <cols>
    <col min="1" max="1" width="20.08203125" bestFit="1" customWidth="1"/>
    <col min="2" max="2" width="17.5" bestFit="1" customWidth="1"/>
  </cols>
  <sheetData>
    <row r="3" spans="1:2">
      <c r="A3" s="7" t="s">
        <v>406</v>
      </c>
      <c r="B3" t="s">
        <v>423</v>
      </c>
    </row>
    <row r="4" spans="1:2">
      <c r="A4" s="8" t="s">
        <v>97</v>
      </c>
      <c r="B4" s="30">
        <v>36617.5</v>
      </c>
    </row>
    <row r="5" spans="1:2">
      <c r="A5" s="8" t="s">
        <v>91</v>
      </c>
      <c r="B5" s="30">
        <v>68526.92</v>
      </c>
    </row>
    <row r="6" spans="1:2">
      <c r="A6" s="8" t="s">
        <v>115</v>
      </c>
      <c r="B6" s="30">
        <v>65662.73</v>
      </c>
    </row>
    <row r="7" spans="1:2">
      <c r="A7" s="8" t="s">
        <v>110</v>
      </c>
      <c r="B7" s="30">
        <v>19402.25</v>
      </c>
    </row>
    <row r="8" spans="1:2">
      <c r="A8" s="8" t="s">
        <v>101</v>
      </c>
      <c r="B8" s="30">
        <v>42936.93</v>
      </c>
    </row>
    <row r="9" spans="1:2">
      <c r="A9" s="8" t="s">
        <v>456</v>
      </c>
      <c r="B9" s="30">
        <v>17318.409999999996</v>
      </c>
    </row>
    <row r="10" spans="1:2">
      <c r="A10" s="8" t="s">
        <v>95</v>
      </c>
      <c r="B10" s="30">
        <v>30457.95</v>
      </c>
    </row>
    <row r="11" spans="1:2">
      <c r="A11" s="8" t="s">
        <v>405</v>
      </c>
      <c r="B11" s="30">
        <v>280922.69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1B62C-37EF-45E8-A65F-3D6354F9D75F}">
  <dimension ref="A3:B8"/>
  <sheetViews>
    <sheetView workbookViewId="0">
      <selection activeCell="B3" sqref="B3"/>
    </sheetView>
  </sheetViews>
  <sheetFormatPr defaultRowHeight="14"/>
  <cols>
    <col min="1" max="1" width="14.6640625" bestFit="1" customWidth="1"/>
    <col min="2" max="2" width="18.1640625" bestFit="1" customWidth="1"/>
  </cols>
  <sheetData>
    <row r="3" spans="1:2">
      <c r="A3" s="7" t="s">
        <v>406</v>
      </c>
      <c r="B3" t="s">
        <v>407</v>
      </c>
    </row>
    <row r="4" spans="1:2">
      <c r="A4" s="8" t="s">
        <v>92</v>
      </c>
      <c r="B4" s="29">
        <v>162</v>
      </c>
    </row>
    <row r="5" spans="1:2">
      <c r="A5" s="8" t="s">
        <v>458</v>
      </c>
      <c r="B5" s="29">
        <v>19</v>
      </c>
    </row>
    <row r="6" spans="1:2">
      <c r="A6" s="8" t="s">
        <v>102</v>
      </c>
      <c r="B6" s="29">
        <v>60</v>
      </c>
    </row>
    <row r="7" spans="1:2">
      <c r="A7" s="8" t="s">
        <v>116</v>
      </c>
      <c r="B7" s="29">
        <v>59</v>
      </c>
    </row>
    <row r="8" spans="1:2">
      <c r="A8" s="8" t="s">
        <v>405</v>
      </c>
      <c r="B8" s="29">
        <v>300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0785F-8702-4EDD-932E-F2F1E39EABB4}">
  <dimension ref="A3:B14"/>
  <sheetViews>
    <sheetView topLeftCell="A5" workbookViewId="0">
      <selection activeCell="M40" sqref="M40"/>
    </sheetView>
  </sheetViews>
  <sheetFormatPr defaultRowHeight="14"/>
  <cols>
    <col min="1" max="1" width="12.9140625" bestFit="1" customWidth="1"/>
    <col min="2" max="2" width="18.1640625" bestFit="1" customWidth="1"/>
    <col min="3" max="10" width="15.58203125" bestFit="1" customWidth="1"/>
    <col min="11" max="11" width="10.83203125" bestFit="1" customWidth="1"/>
  </cols>
  <sheetData>
    <row r="3" spans="1:2">
      <c r="A3" s="7" t="s">
        <v>406</v>
      </c>
      <c r="B3" t="s">
        <v>407</v>
      </c>
    </row>
    <row r="4" spans="1:2">
      <c r="A4" s="8" t="s">
        <v>466</v>
      </c>
      <c r="B4" s="29">
        <v>18</v>
      </c>
    </row>
    <row r="5" spans="1:2">
      <c r="A5" s="8" t="s">
        <v>467</v>
      </c>
      <c r="B5" s="29">
        <v>26</v>
      </c>
    </row>
    <row r="6" spans="1:2">
      <c r="A6" s="8" t="s">
        <v>468</v>
      </c>
      <c r="B6" s="29">
        <v>23</v>
      </c>
    </row>
    <row r="7" spans="1:2">
      <c r="A7" s="8" t="s">
        <v>469</v>
      </c>
      <c r="B7" s="29">
        <v>34</v>
      </c>
    </row>
    <row r="8" spans="1:2">
      <c r="A8" s="8" t="s">
        <v>470</v>
      </c>
      <c r="B8" s="29">
        <v>20</v>
      </c>
    </row>
    <row r="9" spans="1:2">
      <c r="A9" s="8" t="s">
        <v>471</v>
      </c>
      <c r="B9" s="29">
        <v>6</v>
      </c>
    </row>
    <row r="10" spans="1:2">
      <c r="A10" s="8" t="s">
        <v>472</v>
      </c>
      <c r="B10" s="29">
        <v>10</v>
      </c>
    </row>
    <row r="11" spans="1:2">
      <c r="A11" s="8" t="s">
        <v>473</v>
      </c>
      <c r="B11" s="29">
        <v>55</v>
      </c>
    </row>
    <row r="12" spans="1:2">
      <c r="A12" s="8" t="s">
        <v>474</v>
      </c>
      <c r="B12" s="29">
        <v>78</v>
      </c>
    </row>
    <row r="13" spans="1:2">
      <c r="A13" s="8" t="s">
        <v>475</v>
      </c>
      <c r="B13" s="29">
        <v>30</v>
      </c>
    </row>
    <row r="14" spans="1:2">
      <c r="A14" s="8" t="s">
        <v>405</v>
      </c>
      <c r="B14" s="29">
        <v>300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E4665-F778-42C0-92BA-FE96678DCE1A}">
  <dimension ref="A3:B9"/>
  <sheetViews>
    <sheetView workbookViewId="0">
      <selection activeCell="F20" sqref="F20"/>
    </sheetView>
  </sheetViews>
  <sheetFormatPr defaultRowHeight="14"/>
  <cols>
    <col min="1" max="1" width="12.9140625" bestFit="1" customWidth="1"/>
    <col min="2" max="2" width="18.75" bestFit="1" customWidth="1"/>
  </cols>
  <sheetData>
    <row r="3" spans="1:2">
      <c r="A3" s="7" t="s">
        <v>406</v>
      </c>
      <c r="B3" t="s">
        <v>462</v>
      </c>
    </row>
    <row r="4" spans="1:2">
      <c r="A4" s="8" t="s">
        <v>107</v>
      </c>
      <c r="B4" s="29">
        <v>175</v>
      </c>
    </row>
    <row r="5" spans="1:2">
      <c r="A5" s="8" t="s">
        <v>148</v>
      </c>
      <c r="B5" s="29">
        <v>27</v>
      </c>
    </row>
    <row r="6" spans="1:2">
      <c r="A6" s="8" t="s">
        <v>93</v>
      </c>
      <c r="B6" s="29">
        <v>64</v>
      </c>
    </row>
    <row r="7" spans="1:2">
      <c r="A7" s="8" t="s">
        <v>461</v>
      </c>
      <c r="B7" s="29">
        <v>18</v>
      </c>
    </row>
    <row r="8" spans="1:2">
      <c r="A8" s="8" t="s">
        <v>104</v>
      </c>
      <c r="B8" s="29">
        <v>16</v>
      </c>
    </row>
    <row r="9" spans="1:2">
      <c r="A9" s="8" t="s">
        <v>405</v>
      </c>
      <c r="B9" s="29">
        <v>300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DC5CC-B86D-46EB-A693-7117AC0786D1}">
  <dimension ref="A3:B221"/>
  <sheetViews>
    <sheetView workbookViewId="0">
      <selection activeCell="A28" sqref="A28"/>
    </sheetView>
  </sheetViews>
  <sheetFormatPr defaultRowHeight="14"/>
  <cols>
    <col min="1" max="1" width="12.9140625" bestFit="1" customWidth="1"/>
    <col min="2" max="2" width="17.5" bestFit="1" customWidth="1"/>
  </cols>
  <sheetData>
    <row r="3" spans="1:2">
      <c r="A3" s="7" t="s">
        <v>406</v>
      </c>
      <c r="B3" t="s">
        <v>423</v>
      </c>
    </row>
    <row r="4" spans="1:2">
      <c r="A4" s="31">
        <v>45658</v>
      </c>
      <c r="B4" s="30">
        <v>772.18</v>
      </c>
    </row>
    <row r="5" spans="1:2">
      <c r="A5" s="31">
        <v>45662</v>
      </c>
      <c r="B5" s="30">
        <v>1018</v>
      </c>
    </row>
    <row r="6" spans="1:2">
      <c r="A6" s="31">
        <v>45663</v>
      </c>
      <c r="B6" s="30">
        <v>2298.6</v>
      </c>
    </row>
    <row r="7" spans="1:2">
      <c r="A7" s="31">
        <v>45667</v>
      </c>
      <c r="B7" s="30">
        <v>1165.03</v>
      </c>
    </row>
    <row r="8" spans="1:2">
      <c r="A8" s="31">
        <v>45668</v>
      </c>
      <c r="B8" s="30">
        <v>0</v>
      </c>
    </row>
    <row r="9" spans="1:2">
      <c r="A9" s="31">
        <v>45669</v>
      </c>
      <c r="B9" s="30">
        <v>922.81</v>
      </c>
    </row>
    <row r="10" spans="1:2">
      <c r="A10" s="31">
        <v>45672</v>
      </c>
      <c r="B10" s="30">
        <v>1087.06</v>
      </c>
    </row>
    <row r="11" spans="1:2">
      <c r="A11" s="31">
        <v>45673</v>
      </c>
      <c r="B11" s="30">
        <v>984.71</v>
      </c>
    </row>
    <row r="12" spans="1:2">
      <c r="A12" s="31">
        <v>45675</v>
      </c>
      <c r="B12" s="30">
        <v>1817.78</v>
      </c>
    </row>
    <row r="13" spans="1:2">
      <c r="A13" s="31">
        <v>45678</v>
      </c>
      <c r="B13" s="30">
        <v>1022.73</v>
      </c>
    </row>
    <row r="14" spans="1:2">
      <c r="A14" s="31">
        <v>45679</v>
      </c>
      <c r="B14" s="30">
        <v>858.41</v>
      </c>
    </row>
    <row r="15" spans="1:2">
      <c r="A15" s="31">
        <v>45682</v>
      </c>
      <c r="B15" s="30">
        <v>1014.93</v>
      </c>
    </row>
    <row r="16" spans="1:2">
      <c r="A16" s="31">
        <v>45683</v>
      </c>
      <c r="B16" s="30">
        <v>738.48</v>
      </c>
    </row>
    <row r="17" spans="1:2">
      <c r="A17" s="31">
        <v>45684</v>
      </c>
      <c r="B17" s="30">
        <v>860.03</v>
      </c>
    </row>
    <row r="18" spans="1:2">
      <c r="A18" s="31">
        <v>45685</v>
      </c>
      <c r="B18" s="30">
        <v>1142.5999999999999</v>
      </c>
    </row>
    <row r="19" spans="1:2">
      <c r="A19" s="31">
        <v>45688</v>
      </c>
      <c r="B19" s="30">
        <v>774.58</v>
      </c>
    </row>
    <row r="20" spans="1:2">
      <c r="A20" s="31">
        <v>45692</v>
      </c>
      <c r="B20" s="30">
        <v>1046.24</v>
      </c>
    </row>
    <row r="21" spans="1:2">
      <c r="A21" s="31">
        <v>45695</v>
      </c>
      <c r="B21" s="30">
        <v>764.29</v>
      </c>
    </row>
    <row r="22" spans="1:2">
      <c r="A22" s="31">
        <v>45697</v>
      </c>
      <c r="B22" s="30">
        <v>938.18</v>
      </c>
    </row>
    <row r="23" spans="1:2">
      <c r="A23" s="31">
        <v>45706</v>
      </c>
      <c r="B23" s="30">
        <v>2414.8000000000002</v>
      </c>
    </row>
    <row r="24" spans="1:2">
      <c r="A24" s="31">
        <v>45709</v>
      </c>
      <c r="B24" s="30">
        <v>1197.05</v>
      </c>
    </row>
    <row r="25" spans="1:2">
      <c r="A25" s="31">
        <v>45710</v>
      </c>
      <c r="B25" s="30">
        <v>1098.67</v>
      </c>
    </row>
    <row r="26" spans="1:2">
      <c r="A26" s="31">
        <v>45712</v>
      </c>
      <c r="B26" s="30">
        <v>988.35</v>
      </c>
    </row>
    <row r="27" spans="1:2">
      <c r="A27" s="31">
        <v>45716</v>
      </c>
      <c r="B27" s="30">
        <v>0</v>
      </c>
    </row>
    <row r="28" spans="1:2">
      <c r="A28" s="31">
        <v>45718</v>
      </c>
      <c r="B28" s="30">
        <v>875.13</v>
      </c>
    </row>
    <row r="29" spans="1:2">
      <c r="A29" s="31">
        <v>45724</v>
      </c>
      <c r="B29" s="30">
        <v>1039.18</v>
      </c>
    </row>
    <row r="30" spans="1:2">
      <c r="A30" s="31">
        <v>45726</v>
      </c>
      <c r="B30" s="30">
        <v>2253.9499999999998</v>
      </c>
    </row>
    <row r="31" spans="1:2">
      <c r="A31" s="31">
        <v>45727</v>
      </c>
      <c r="B31" s="30">
        <v>1701.48</v>
      </c>
    </row>
    <row r="32" spans="1:2">
      <c r="A32" s="31">
        <v>45728</v>
      </c>
      <c r="B32" s="30">
        <v>1126.1199999999999</v>
      </c>
    </row>
    <row r="33" spans="1:2">
      <c r="A33" s="31">
        <v>45730</v>
      </c>
      <c r="B33" s="30">
        <v>896.69</v>
      </c>
    </row>
    <row r="34" spans="1:2">
      <c r="A34" s="31">
        <v>45733</v>
      </c>
      <c r="B34" s="30">
        <v>1197.51</v>
      </c>
    </row>
    <row r="35" spans="1:2">
      <c r="A35" s="31">
        <v>45738</v>
      </c>
      <c r="B35" s="30">
        <v>0</v>
      </c>
    </row>
    <row r="36" spans="1:2">
      <c r="A36" s="31">
        <v>45740</v>
      </c>
      <c r="B36" s="30">
        <v>997.61</v>
      </c>
    </row>
    <row r="37" spans="1:2">
      <c r="A37" s="31">
        <v>45743</v>
      </c>
      <c r="B37" s="30">
        <v>913.93</v>
      </c>
    </row>
    <row r="38" spans="1:2">
      <c r="A38" s="31">
        <v>45746</v>
      </c>
      <c r="B38" s="30">
        <v>946.4</v>
      </c>
    </row>
    <row r="39" spans="1:2">
      <c r="A39" s="31">
        <v>45748</v>
      </c>
      <c r="B39" s="30">
        <v>2307.59</v>
      </c>
    </row>
    <row r="40" spans="1:2">
      <c r="A40" s="31">
        <v>45752</v>
      </c>
      <c r="B40" s="30">
        <v>1020.21</v>
      </c>
    </row>
    <row r="41" spans="1:2">
      <c r="A41" s="31">
        <v>45754</v>
      </c>
      <c r="B41" s="30">
        <v>1274.06</v>
      </c>
    </row>
    <row r="42" spans="1:2">
      <c r="A42" s="31">
        <v>45759</v>
      </c>
      <c r="B42" s="30">
        <v>1065.77</v>
      </c>
    </row>
    <row r="43" spans="1:2">
      <c r="A43" s="31">
        <v>45765</v>
      </c>
      <c r="B43" s="30">
        <v>1064.78</v>
      </c>
    </row>
    <row r="44" spans="1:2">
      <c r="A44" s="31">
        <v>45767</v>
      </c>
      <c r="B44" s="30">
        <v>1932.81</v>
      </c>
    </row>
    <row r="45" spans="1:2">
      <c r="A45" s="31">
        <v>45771</v>
      </c>
      <c r="B45" s="30">
        <v>878.75</v>
      </c>
    </row>
    <row r="46" spans="1:2">
      <c r="A46" s="31">
        <v>45772</v>
      </c>
      <c r="B46" s="30">
        <v>1667.3</v>
      </c>
    </row>
    <row r="47" spans="1:2">
      <c r="A47" s="31">
        <v>45774</v>
      </c>
      <c r="B47" s="30">
        <v>2153.06</v>
      </c>
    </row>
    <row r="48" spans="1:2">
      <c r="A48" s="31">
        <v>45776</v>
      </c>
      <c r="B48" s="30">
        <v>1261</v>
      </c>
    </row>
    <row r="49" spans="1:2">
      <c r="A49" s="31">
        <v>45778</v>
      </c>
      <c r="B49" s="30">
        <v>1208.6400000000001</v>
      </c>
    </row>
    <row r="50" spans="1:2">
      <c r="A50" s="31">
        <v>45783</v>
      </c>
      <c r="B50" s="30">
        <v>951.34</v>
      </c>
    </row>
    <row r="51" spans="1:2">
      <c r="A51" s="31">
        <v>45785</v>
      </c>
      <c r="B51" s="30">
        <v>1067.4100000000001</v>
      </c>
    </row>
    <row r="52" spans="1:2">
      <c r="A52" s="31">
        <v>45786</v>
      </c>
      <c r="B52" s="30">
        <v>1379.03</v>
      </c>
    </row>
    <row r="53" spans="1:2">
      <c r="A53" s="31">
        <v>45787</v>
      </c>
      <c r="B53" s="30">
        <v>1873.21</v>
      </c>
    </row>
    <row r="54" spans="1:2">
      <c r="A54" s="31">
        <v>45791</v>
      </c>
      <c r="B54" s="30">
        <v>2105.79</v>
      </c>
    </row>
    <row r="55" spans="1:2">
      <c r="A55" s="31">
        <v>45798</v>
      </c>
      <c r="B55" s="30">
        <v>998.74</v>
      </c>
    </row>
    <row r="56" spans="1:2">
      <c r="A56" s="31">
        <v>45801</v>
      </c>
      <c r="B56" s="30">
        <v>2161.73</v>
      </c>
    </row>
    <row r="57" spans="1:2">
      <c r="A57" s="31">
        <v>45803</v>
      </c>
      <c r="B57" s="30">
        <v>734.56</v>
      </c>
    </row>
    <row r="58" spans="1:2">
      <c r="A58" s="31">
        <v>45804</v>
      </c>
      <c r="B58" s="30">
        <v>972.65</v>
      </c>
    </row>
    <row r="59" spans="1:2">
      <c r="A59" s="31">
        <v>45808</v>
      </c>
      <c r="B59" s="30">
        <v>1044.45</v>
      </c>
    </row>
    <row r="60" spans="1:2">
      <c r="A60" s="31">
        <v>45811</v>
      </c>
      <c r="B60" s="30">
        <v>1138.77</v>
      </c>
    </row>
    <row r="61" spans="1:2">
      <c r="A61" s="31">
        <v>45813</v>
      </c>
      <c r="B61" s="30">
        <v>729.7</v>
      </c>
    </row>
    <row r="62" spans="1:2">
      <c r="A62" s="31">
        <v>45814</v>
      </c>
      <c r="B62" s="30">
        <v>971.14</v>
      </c>
    </row>
    <row r="63" spans="1:2">
      <c r="A63" s="31">
        <v>45815</v>
      </c>
      <c r="B63" s="30">
        <v>1970.56</v>
      </c>
    </row>
    <row r="64" spans="1:2">
      <c r="A64" s="31">
        <v>45817</v>
      </c>
      <c r="B64" s="30">
        <v>1120</v>
      </c>
    </row>
    <row r="65" spans="1:2">
      <c r="A65" s="31">
        <v>45818</v>
      </c>
      <c r="B65" s="30">
        <v>792.94</v>
      </c>
    </row>
    <row r="66" spans="1:2">
      <c r="A66" s="31">
        <v>45821</v>
      </c>
      <c r="B66" s="30">
        <v>2134.8900000000003</v>
      </c>
    </row>
    <row r="67" spans="1:2">
      <c r="A67" s="31">
        <v>45825</v>
      </c>
      <c r="B67" s="30">
        <v>799.37</v>
      </c>
    </row>
    <row r="68" spans="1:2">
      <c r="A68" s="31">
        <v>45826</v>
      </c>
      <c r="B68" s="30">
        <v>761.3</v>
      </c>
    </row>
    <row r="69" spans="1:2">
      <c r="A69" s="31">
        <v>45829</v>
      </c>
      <c r="B69" s="30">
        <v>1996.84</v>
      </c>
    </row>
    <row r="70" spans="1:2">
      <c r="A70" s="31">
        <v>45830</v>
      </c>
      <c r="B70" s="30">
        <v>933.95</v>
      </c>
    </row>
    <row r="71" spans="1:2">
      <c r="A71" s="31">
        <v>45831</v>
      </c>
      <c r="B71" s="30">
        <v>1257.3800000000001</v>
      </c>
    </row>
    <row r="72" spans="1:2">
      <c r="A72" s="31">
        <v>45841</v>
      </c>
      <c r="B72" s="30">
        <v>0</v>
      </c>
    </row>
    <row r="73" spans="1:2">
      <c r="A73" s="31">
        <v>45842</v>
      </c>
      <c r="B73" s="30">
        <v>1080.26</v>
      </c>
    </row>
    <row r="74" spans="1:2">
      <c r="A74" s="31">
        <v>45843</v>
      </c>
      <c r="B74" s="30">
        <v>2063.91</v>
      </c>
    </row>
    <row r="75" spans="1:2">
      <c r="A75" s="31">
        <v>45846</v>
      </c>
      <c r="B75" s="30">
        <v>969.17</v>
      </c>
    </row>
    <row r="76" spans="1:2">
      <c r="A76" s="31">
        <v>45847</v>
      </c>
      <c r="B76" s="30">
        <v>2196.06</v>
      </c>
    </row>
    <row r="77" spans="1:2">
      <c r="A77" s="31">
        <v>45848</v>
      </c>
      <c r="B77" s="30">
        <v>1957.5700000000002</v>
      </c>
    </row>
    <row r="78" spans="1:2">
      <c r="A78" s="31">
        <v>45849</v>
      </c>
      <c r="B78" s="30">
        <v>820.49</v>
      </c>
    </row>
    <row r="79" spans="1:2">
      <c r="A79" s="31">
        <v>45850</v>
      </c>
      <c r="B79" s="30">
        <v>810.27</v>
      </c>
    </row>
    <row r="80" spans="1:2">
      <c r="A80" s="31">
        <v>45854</v>
      </c>
      <c r="B80" s="30">
        <v>720.2</v>
      </c>
    </row>
    <row r="81" spans="1:2">
      <c r="A81" s="31">
        <v>45855</v>
      </c>
      <c r="B81" s="30">
        <v>877.02</v>
      </c>
    </row>
    <row r="82" spans="1:2">
      <c r="A82" s="31">
        <v>45856</v>
      </c>
      <c r="B82" s="30">
        <v>2229.98</v>
      </c>
    </row>
    <row r="83" spans="1:2">
      <c r="A83" s="31">
        <v>45858</v>
      </c>
      <c r="B83" s="30">
        <v>947.68</v>
      </c>
    </row>
    <row r="84" spans="1:2">
      <c r="A84" s="31">
        <v>45863</v>
      </c>
      <c r="B84" s="30">
        <v>1233.48</v>
      </c>
    </row>
    <row r="85" spans="1:2">
      <c r="A85" s="31">
        <v>45868</v>
      </c>
      <c r="B85" s="30">
        <v>720.97</v>
      </c>
    </row>
    <row r="86" spans="1:2">
      <c r="A86" s="31">
        <v>45869</v>
      </c>
      <c r="B86" s="30">
        <v>2658.87</v>
      </c>
    </row>
    <row r="87" spans="1:2">
      <c r="A87" s="31">
        <v>45870</v>
      </c>
      <c r="B87" s="30">
        <v>1957.92</v>
      </c>
    </row>
    <row r="88" spans="1:2">
      <c r="A88" s="31">
        <v>45872</v>
      </c>
      <c r="B88" s="30">
        <v>1576.0900000000001</v>
      </c>
    </row>
    <row r="89" spans="1:2">
      <c r="A89" s="31">
        <v>45873</v>
      </c>
      <c r="B89" s="30">
        <v>1006.17</v>
      </c>
    </row>
    <row r="90" spans="1:2">
      <c r="A90" s="31">
        <v>45876</v>
      </c>
      <c r="B90" s="30">
        <v>1088.1400000000001</v>
      </c>
    </row>
    <row r="91" spans="1:2">
      <c r="A91" s="31">
        <v>45878</v>
      </c>
      <c r="B91" s="30">
        <v>1588.26</v>
      </c>
    </row>
    <row r="92" spans="1:2">
      <c r="A92" s="31">
        <v>45881</v>
      </c>
      <c r="B92" s="30">
        <v>1861.3600000000001</v>
      </c>
    </row>
    <row r="93" spans="1:2">
      <c r="A93" s="31">
        <v>45884</v>
      </c>
      <c r="B93" s="30">
        <v>1178.9000000000001</v>
      </c>
    </row>
    <row r="94" spans="1:2">
      <c r="A94" s="31">
        <v>45886</v>
      </c>
      <c r="B94" s="30">
        <v>1155.3800000000001</v>
      </c>
    </row>
    <row r="95" spans="1:2">
      <c r="A95" s="31">
        <v>45887</v>
      </c>
      <c r="B95" s="30">
        <v>0</v>
      </c>
    </row>
    <row r="96" spans="1:2">
      <c r="A96" s="31">
        <v>45890</v>
      </c>
      <c r="B96" s="30">
        <v>1607.54</v>
      </c>
    </row>
    <row r="97" spans="1:2">
      <c r="A97" s="31">
        <v>45891</v>
      </c>
      <c r="B97" s="30">
        <v>954.48</v>
      </c>
    </row>
    <row r="98" spans="1:2">
      <c r="A98" s="31">
        <v>45892</v>
      </c>
      <c r="B98" s="30">
        <v>886.2</v>
      </c>
    </row>
    <row r="99" spans="1:2">
      <c r="A99" s="31">
        <v>45893</v>
      </c>
      <c r="B99" s="30">
        <v>805.2</v>
      </c>
    </row>
    <row r="100" spans="1:2">
      <c r="A100" s="31">
        <v>45896</v>
      </c>
      <c r="B100" s="30">
        <v>2038.1</v>
      </c>
    </row>
    <row r="101" spans="1:2">
      <c r="A101" s="31">
        <v>45898</v>
      </c>
      <c r="B101" s="30">
        <v>1870.9</v>
      </c>
    </row>
    <row r="102" spans="1:2">
      <c r="A102" s="31">
        <v>45903</v>
      </c>
      <c r="B102" s="30">
        <v>951.72</v>
      </c>
    </row>
    <row r="103" spans="1:2">
      <c r="A103" s="31">
        <v>45907</v>
      </c>
      <c r="B103" s="30">
        <v>1073.8399999999999</v>
      </c>
    </row>
    <row r="104" spans="1:2">
      <c r="A104" s="31">
        <v>45908</v>
      </c>
      <c r="B104" s="30">
        <v>2058.19</v>
      </c>
    </row>
    <row r="105" spans="1:2">
      <c r="A105" s="31">
        <v>45910</v>
      </c>
      <c r="B105" s="30">
        <v>758.22</v>
      </c>
    </row>
    <row r="106" spans="1:2">
      <c r="A106" s="31">
        <v>45911</v>
      </c>
      <c r="B106" s="30">
        <v>1749.6</v>
      </c>
    </row>
    <row r="107" spans="1:2">
      <c r="A107" s="31">
        <v>45912</v>
      </c>
      <c r="B107" s="30">
        <v>1065.3699999999999</v>
      </c>
    </row>
    <row r="108" spans="1:2">
      <c r="A108" s="31">
        <v>45916</v>
      </c>
      <c r="B108" s="30">
        <v>893.1</v>
      </c>
    </row>
    <row r="109" spans="1:2">
      <c r="A109" s="31">
        <v>45917</v>
      </c>
      <c r="B109" s="30">
        <v>1967.55</v>
      </c>
    </row>
    <row r="110" spans="1:2">
      <c r="A110" s="31">
        <v>45918</v>
      </c>
      <c r="B110" s="30">
        <v>1186.5</v>
      </c>
    </row>
    <row r="111" spans="1:2">
      <c r="A111" s="31">
        <v>45919</v>
      </c>
      <c r="B111" s="30">
        <v>1173.08</v>
      </c>
    </row>
    <row r="112" spans="1:2">
      <c r="A112" s="31">
        <v>45920</v>
      </c>
      <c r="B112" s="30">
        <v>1021.08</v>
      </c>
    </row>
    <row r="113" spans="1:2">
      <c r="A113" s="31">
        <v>45924</v>
      </c>
      <c r="B113" s="30">
        <v>926.63</v>
      </c>
    </row>
    <row r="114" spans="1:2">
      <c r="A114" s="31">
        <v>45928</v>
      </c>
      <c r="B114" s="30">
        <v>1830.65</v>
      </c>
    </row>
    <row r="115" spans="1:2">
      <c r="A115" s="31">
        <v>45929</v>
      </c>
      <c r="B115" s="30">
        <v>2279.12</v>
      </c>
    </row>
    <row r="116" spans="1:2">
      <c r="A116" s="31">
        <v>45933</v>
      </c>
      <c r="B116" s="30">
        <v>1358.18</v>
      </c>
    </row>
    <row r="117" spans="1:2">
      <c r="A117" s="31">
        <v>45934</v>
      </c>
      <c r="B117" s="30">
        <v>864.1</v>
      </c>
    </row>
    <row r="118" spans="1:2">
      <c r="A118" s="31">
        <v>45939</v>
      </c>
      <c r="B118" s="30">
        <v>938.05</v>
      </c>
    </row>
    <row r="119" spans="1:2">
      <c r="A119" s="31">
        <v>45940</v>
      </c>
      <c r="B119" s="30">
        <v>1164.6500000000001</v>
      </c>
    </row>
    <row r="120" spans="1:2">
      <c r="A120" s="31">
        <v>45942</v>
      </c>
      <c r="B120" s="30">
        <v>0</v>
      </c>
    </row>
    <row r="121" spans="1:2">
      <c r="A121" s="31">
        <v>45945</v>
      </c>
      <c r="B121" s="30">
        <v>944.77</v>
      </c>
    </row>
    <row r="122" spans="1:2">
      <c r="A122" s="31">
        <v>45949</v>
      </c>
      <c r="B122" s="30">
        <v>0</v>
      </c>
    </row>
    <row r="123" spans="1:2">
      <c r="A123" s="31">
        <v>45952</v>
      </c>
      <c r="B123" s="30">
        <v>1244.6400000000001</v>
      </c>
    </row>
    <row r="124" spans="1:2">
      <c r="A124" s="31">
        <v>45962</v>
      </c>
      <c r="B124" s="30">
        <v>1374.35</v>
      </c>
    </row>
    <row r="125" spans="1:2">
      <c r="A125" s="31">
        <v>45965</v>
      </c>
      <c r="B125" s="30">
        <v>760.42</v>
      </c>
    </row>
    <row r="126" spans="1:2">
      <c r="A126" s="31">
        <v>45968</v>
      </c>
      <c r="B126" s="30">
        <v>1064.99</v>
      </c>
    </row>
    <row r="127" spans="1:2">
      <c r="A127" s="31">
        <v>45969</v>
      </c>
      <c r="B127" s="30">
        <v>1043.3</v>
      </c>
    </row>
    <row r="128" spans="1:2">
      <c r="A128" s="31">
        <v>45971</v>
      </c>
      <c r="B128" s="30">
        <v>1254.82</v>
      </c>
    </row>
    <row r="129" spans="1:2">
      <c r="A129" s="31">
        <v>45974</v>
      </c>
      <c r="B129" s="30">
        <v>905.56</v>
      </c>
    </row>
    <row r="130" spans="1:2">
      <c r="A130" s="31">
        <v>45976</v>
      </c>
      <c r="B130" s="30">
        <v>907.19</v>
      </c>
    </row>
    <row r="131" spans="1:2">
      <c r="A131" s="31">
        <v>45981</v>
      </c>
      <c r="B131" s="30">
        <v>1773.6599999999999</v>
      </c>
    </row>
    <row r="132" spans="1:2">
      <c r="A132" s="31">
        <v>45982</v>
      </c>
      <c r="B132" s="30">
        <v>1682.35</v>
      </c>
    </row>
    <row r="133" spans="1:2">
      <c r="A133" s="31">
        <v>45983</v>
      </c>
      <c r="B133" s="30">
        <v>2608.65</v>
      </c>
    </row>
    <row r="134" spans="1:2">
      <c r="A134" s="31">
        <v>45987</v>
      </c>
      <c r="B134" s="30">
        <v>4830.8599999999997</v>
      </c>
    </row>
    <row r="135" spans="1:2">
      <c r="A135" s="31">
        <v>45992</v>
      </c>
      <c r="B135" s="30">
        <v>946.69</v>
      </c>
    </row>
    <row r="136" spans="1:2">
      <c r="A136" s="31">
        <v>45993</v>
      </c>
      <c r="B136" s="30">
        <v>1841.22</v>
      </c>
    </row>
    <row r="137" spans="1:2">
      <c r="A137" s="31">
        <v>45994</v>
      </c>
      <c r="B137" s="30">
        <v>927.99</v>
      </c>
    </row>
    <row r="138" spans="1:2">
      <c r="A138" s="31">
        <v>45995</v>
      </c>
      <c r="B138" s="30">
        <v>900.67</v>
      </c>
    </row>
    <row r="139" spans="1:2">
      <c r="A139" s="31">
        <v>45997</v>
      </c>
      <c r="B139" s="30">
        <v>857.18</v>
      </c>
    </row>
    <row r="140" spans="1:2">
      <c r="A140" s="31">
        <v>46002</v>
      </c>
      <c r="B140" s="30">
        <v>893.17</v>
      </c>
    </row>
    <row r="141" spans="1:2">
      <c r="A141" s="31">
        <v>46004</v>
      </c>
      <c r="B141" s="30">
        <v>901.18</v>
      </c>
    </row>
    <row r="142" spans="1:2">
      <c r="A142" s="31">
        <v>46006</v>
      </c>
      <c r="B142" s="30">
        <v>936.29</v>
      </c>
    </row>
    <row r="143" spans="1:2">
      <c r="A143" s="31">
        <v>46007</v>
      </c>
      <c r="B143" s="30">
        <v>1071.49</v>
      </c>
    </row>
    <row r="144" spans="1:2">
      <c r="A144" s="31">
        <v>46009</v>
      </c>
      <c r="B144" s="30">
        <v>1187.6099999999999</v>
      </c>
    </row>
    <row r="145" spans="1:2">
      <c r="A145" s="31">
        <v>46010</v>
      </c>
      <c r="B145" s="30">
        <v>1035.3900000000001</v>
      </c>
    </row>
    <row r="146" spans="1:2">
      <c r="A146" s="31">
        <v>46011</v>
      </c>
      <c r="B146" s="30">
        <v>3071.06</v>
      </c>
    </row>
    <row r="147" spans="1:2">
      <c r="A147" s="31">
        <v>46012</v>
      </c>
      <c r="B147" s="30">
        <v>1069.75</v>
      </c>
    </row>
    <row r="148" spans="1:2">
      <c r="A148" s="31">
        <v>46016</v>
      </c>
      <c r="B148" s="30">
        <v>1352.42</v>
      </c>
    </row>
    <row r="149" spans="1:2">
      <c r="A149" s="31">
        <v>46022</v>
      </c>
      <c r="B149" s="30">
        <v>1206.44</v>
      </c>
    </row>
    <row r="150" spans="1:2">
      <c r="A150" s="31">
        <v>46025</v>
      </c>
      <c r="B150" s="30">
        <v>2116.37</v>
      </c>
    </row>
    <row r="151" spans="1:2">
      <c r="A151" s="31">
        <v>46028</v>
      </c>
      <c r="B151" s="30">
        <v>1037.53</v>
      </c>
    </row>
    <row r="152" spans="1:2">
      <c r="A152" s="31">
        <v>46031</v>
      </c>
      <c r="B152" s="30">
        <v>1175.69</v>
      </c>
    </row>
    <row r="153" spans="1:2">
      <c r="A153" s="31">
        <v>46032</v>
      </c>
      <c r="B153" s="30">
        <v>874.56</v>
      </c>
    </row>
    <row r="154" spans="1:2">
      <c r="A154" s="31">
        <v>46038</v>
      </c>
      <c r="B154" s="30">
        <v>1556.42</v>
      </c>
    </row>
    <row r="155" spans="1:2">
      <c r="A155" s="31">
        <v>46039</v>
      </c>
      <c r="B155" s="30">
        <v>2116.8599999999997</v>
      </c>
    </row>
    <row r="156" spans="1:2">
      <c r="A156" s="31">
        <v>46040</v>
      </c>
      <c r="B156" s="30">
        <v>1924.17</v>
      </c>
    </row>
    <row r="157" spans="1:2">
      <c r="A157" s="31">
        <v>46041</v>
      </c>
      <c r="B157" s="30">
        <v>1853.06</v>
      </c>
    </row>
    <row r="158" spans="1:2">
      <c r="A158" s="31">
        <v>46044</v>
      </c>
      <c r="B158" s="30">
        <v>1005.74</v>
      </c>
    </row>
    <row r="159" spans="1:2">
      <c r="A159" s="31">
        <v>46048</v>
      </c>
      <c r="B159" s="30">
        <v>816.86</v>
      </c>
    </row>
    <row r="160" spans="1:2">
      <c r="A160" s="31">
        <v>46049</v>
      </c>
      <c r="B160" s="30">
        <v>1228.17</v>
      </c>
    </row>
    <row r="161" spans="1:2">
      <c r="A161" s="31">
        <v>46052</v>
      </c>
      <c r="B161" s="30">
        <v>1042.6600000000001</v>
      </c>
    </row>
    <row r="162" spans="1:2">
      <c r="A162" s="31">
        <v>46057</v>
      </c>
      <c r="B162" s="30">
        <v>1339.08</v>
      </c>
    </row>
    <row r="163" spans="1:2">
      <c r="A163" s="31">
        <v>46063</v>
      </c>
      <c r="B163" s="30">
        <v>893.95</v>
      </c>
    </row>
    <row r="164" spans="1:2">
      <c r="A164" s="31">
        <v>46064</v>
      </c>
      <c r="B164" s="30">
        <v>751.55</v>
      </c>
    </row>
    <row r="165" spans="1:2">
      <c r="A165" s="31">
        <v>46066</v>
      </c>
      <c r="B165" s="30">
        <v>834.99</v>
      </c>
    </row>
    <row r="166" spans="1:2">
      <c r="A166" s="31">
        <v>46067</v>
      </c>
      <c r="B166" s="30">
        <v>1036.3800000000001</v>
      </c>
    </row>
    <row r="167" spans="1:2">
      <c r="A167" s="31">
        <v>46069</v>
      </c>
      <c r="B167" s="30">
        <v>832.04</v>
      </c>
    </row>
    <row r="168" spans="1:2">
      <c r="A168" s="31">
        <v>46071</v>
      </c>
      <c r="B168" s="30">
        <v>1005.5</v>
      </c>
    </row>
    <row r="169" spans="1:2">
      <c r="A169" s="31">
        <v>46073</v>
      </c>
      <c r="B169" s="30">
        <v>1185.1400000000001</v>
      </c>
    </row>
    <row r="170" spans="1:2">
      <c r="A170" s="31">
        <v>46075</v>
      </c>
      <c r="B170" s="30">
        <v>804.04</v>
      </c>
    </row>
    <row r="171" spans="1:2">
      <c r="A171" s="31">
        <v>46076</v>
      </c>
      <c r="B171" s="30">
        <v>920.54</v>
      </c>
    </row>
    <row r="172" spans="1:2">
      <c r="A172" s="31">
        <v>46082</v>
      </c>
      <c r="B172" s="30">
        <v>1222.31</v>
      </c>
    </row>
    <row r="173" spans="1:2">
      <c r="A173" s="31">
        <v>46085</v>
      </c>
      <c r="B173" s="30">
        <v>801.43</v>
      </c>
    </row>
    <row r="174" spans="1:2">
      <c r="A174" s="31">
        <v>46087</v>
      </c>
      <c r="B174" s="30">
        <v>905.83</v>
      </c>
    </row>
    <row r="175" spans="1:2">
      <c r="A175" s="31">
        <v>46092</v>
      </c>
      <c r="B175" s="30">
        <v>1071.8800000000001</v>
      </c>
    </row>
    <row r="176" spans="1:2">
      <c r="A176" s="31">
        <v>46093</v>
      </c>
      <c r="B176" s="30">
        <v>1235.1199999999999</v>
      </c>
    </row>
    <row r="177" spans="1:2">
      <c r="A177" s="31">
        <v>46101</v>
      </c>
      <c r="B177" s="30">
        <v>1137.3499999999999</v>
      </c>
    </row>
    <row r="178" spans="1:2">
      <c r="A178" s="31">
        <v>46102</v>
      </c>
      <c r="B178" s="30">
        <v>901.17</v>
      </c>
    </row>
    <row r="179" spans="1:2">
      <c r="A179" s="31">
        <v>46105</v>
      </c>
      <c r="B179" s="30">
        <v>1899.7599999999998</v>
      </c>
    </row>
    <row r="180" spans="1:2">
      <c r="A180" s="31">
        <v>46108</v>
      </c>
      <c r="B180" s="30">
        <v>885.07</v>
      </c>
    </row>
    <row r="181" spans="1:2">
      <c r="A181" s="31">
        <v>46113</v>
      </c>
      <c r="B181" s="30">
        <v>1046.94</v>
      </c>
    </row>
    <row r="182" spans="1:2">
      <c r="A182" s="31">
        <v>46115</v>
      </c>
      <c r="B182" s="30">
        <v>990.07</v>
      </c>
    </row>
    <row r="183" spans="1:2">
      <c r="A183" s="31">
        <v>46117</v>
      </c>
      <c r="B183" s="30">
        <v>777.72</v>
      </c>
    </row>
    <row r="184" spans="1:2">
      <c r="A184" s="31">
        <v>46121</v>
      </c>
      <c r="B184" s="30">
        <v>1305.94</v>
      </c>
    </row>
    <row r="185" spans="1:2">
      <c r="A185" s="31">
        <v>46126</v>
      </c>
      <c r="B185" s="30">
        <v>1745.87</v>
      </c>
    </row>
    <row r="186" spans="1:2">
      <c r="A186" s="31">
        <v>46127</v>
      </c>
      <c r="B186" s="30">
        <v>1164.8599999999999</v>
      </c>
    </row>
    <row r="187" spans="1:2">
      <c r="A187" s="31">
        <v>46128</v>
      </c>
      <c r="B187" s="30">
        <v>914.71</v>
      </c>
    </row>
    <row r="188" spans="1:2">
      <c r="A188" s="31">
        <v>46130</v>
      </c>
      <c r="B188" s="30">
        <v>1813.42</v>
      </c>
    </row>
    <row r="189" spans="1:2">
      <c r="A189" s="31">
        <v>46132</v>
      </c>
      <c r="B189" s="30">
        <v>1867.03</v>
      </c>
    </row>
    <row r="190" spans="1:2">
      <c r="A190" s="31">
        <v>46135</v>
      </c>
      <c r="B190" s="30">
        <v>815.31</v>
      </c>
    </row>
    <row r="191" spans="1:2">
      <c r="A191" s="31">
        <v>46139</v>
      </c>
      <c r="B191" s="30">
        <v>792.99</v>
      </c>
    </row>
    <row r="192" spans="1:2">
      <c r="A192" s="31">
        <v>46143</v>
      </c>
      <c r="B192" s="30">
        <v>1252.22</v>
      </c>
    </row>
    <row r="193" spans="1:2">
      <c r="A193" s="31">
        <v>46144</v>
      </c>
      <c r="B193" s="30">
        <v>0</v>
      </c>
    </row>
    <row r="194" spans="1:2">
      <c r="A194" s="31">
        <v>46148</v>
      </c>
      <c r="B194" s="30">
        <v>1260.08</v>
      </c>
    </row>
    <row r="195" spans="1:2">
      <c r="A195" s="31">
        <v>46156</v>
      </c>
      <c r="B195" s="30">
        <v>817.62</v>
      </c>
    </row>
    <row r="196" spans="1:2">
      <c r="A196" s="31">
        <v>46161</v>
      </c>
      <c r="B196" s="30">
        <v>823.61</v>
      </c>
    </row>
    <row r="197" spans="1:2">
      <c r="A197" s="31">
        <v>46162</v>
      </c>
      <c r="B197" s="30">
        <v>1738.99</v>
      </c>
    </row>
    <row r="198" spans="1:2">
      <c r="A198" s="31">
        <v>46164</v>
      </c>
      <c r="B198" s="30">
        <v>958.74</v>
      </c>
    </row>
    <row r="199" spans="1:2">
      <c r="A199" s="31">
        <v>46165</v>
      </c>
      <c r="B199" s="30">
        <v>1219.68</v>
      </c>
    </row>
    <row r="200" spans="1:2">
      <c r="A200" s="31">
        <v>46167</v>
      </c>
      <c r="B200" s="30">
        <v>760.13</v>
      </c>
    </row>
    <row r="201" spans="1:2">
      <c r="A201" s="31">
        <v>46168</v>
      </c>
      <c r="B201" s="30">
        <v>0</v>
      </c>
    </row>
    <row r="202" spans="1:2">
      <c r="A202" s="31">
        <v>46175</v>
      </c>
      <c r="B202" s="30">
        <v>849.2</v>
      </c>
    </row>
    <row r="203" spans="1:2">
      <c r="A203" s="31">
        <v>46176</v>
      </c>
      <c r="B203" s="30">
        <v>1339.88</v>
      </c>
    </row>
    <row r="204" spans="1:2">
      <c r="A204" s="31">
        <v>46181</v>
      </c>
      <c r="B204" s="30">
        <v>919.12</v>
      </c>
    </row>
    <row r="205" spans="1:2">
      <c r="A205" s="31">
        <v>46184</v>
      </c>
      <c r="B205" s="30">
        <v>1083.3599999999999</v>
      </c>
    </row>
    <row r="206" spans="1:2">
      <c r="A206" s="31">
        <v>46187</v>
      </c>
      <c r="B206" s="30">
        <v>1180.3</v>
      </c>
    </row>
    <row r="207" spans="1:2">
      <c r="A207" s="31">
        <v>46189</v>
      </c>
      <c r="B207" s="30">
        <v>1021.44</v>
      </c>
    </row>
    <row r="208" spans="1:2">
      <c r="A208" s="31">
        <v>46190</v>
      </c>
      <c r="B208" s="30">
        <v>981.23</v>
      </c>
    </row>
    <row r="209" spans="1:2">
      <c r="A209" s="31">
        <v>46193</v>
      </c>
      <c r="B209" s="30">
        <v>830.35</v>
      </c>
    </row>
    <row r="210" spans="1:2">
      <c r="A210" s="31">
        <v>46196</v>
      </c>
      <c r="B210" s="30">
        <v>1111.25</v>
      </c>
    </row>
    <row r="211" spans="1:2">
      <c r="A211" s="31">
        <v>46198</v>
      </c>
      <c r="B211" s="30">
        <v>1246.8399999999999</v>
      </c>
    </row>
    <row r="212" spans="1:2">
      <c r="A212" s="31">
        <v>46199</v>
      </c>
      <c r="B212" s="30">
        <v>968.97</v>
      </c>
    </row>
    <row r="213" spans="1:2">
      <c r="A213" s="31">
        <v>46201</v>
      </c>
      <c r="B213" s="30">
        <v>823.71</v>
      </c>
    </row>
    <row r="214" spans="1:2">
      <c r="A214" s="31">
        <v>46208</v>
      </c>
      <c r="B214" s="30">
        <v>1004.33</v>
      </c>
    </row>
    <row r="215" spans="1:2">
      <c r="A215" s="31">
        <v>46209</v>
      </c>
      <c r="B215" s="30">
        <v>3336.55</v>
      </c>
    </row>
    <row r="216" spans="1:2">
      <c r="A216" s="31">
        <v>46212</v>
      </c>
      <c r="B216" s="30">
        <v>2353.69</v>
      </c>
    </row>
    <row r="217" spans="1:2">
      <c r="A217" s="31">
        <v>46213</v>
      </c>
      <c r="B217" s="30">
        <v>960.91</v>
      </c>
    </row>
    <row r="218" spans="1:2">
      <c r="A218" s="31">
        <v>46217</v>
      </c>
      <c r="B218" s="30">
        <v>1262.8800000000001</v>
      </c>
    </row>
    <row r="219" spans="1:2">
      <c r="A219" s="31">
        <v>46219</v>
      </c>
      <c r="B219" s="30">
        <v>753.39</v>
      </c>
    </row>
    <row r="220" spans="1:2">
      <c r="A220" s="31">
        <v>46221</v>
      </c>
      <c r="B220" s="30">
        <v>1140.6500000000001</v>
      </c>
    </row>
    <row r="221" spans="1:2">
      <c r="A221" s="8" t="s">
        <v>405</v>
      </c>
      <c r="B221" s="30">
        <v>262962.73999999987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52505-8359-411A-88B7-9C28756273FF}">
  <dimension ref="A3:B9"/>
  <sheetViews>
    <sheetView workbookViewId="0">
      <selection activeCell="I10" sqref="I10"/>
    </sheetView>
  </sheetViews>
  <sheetFormatPr defaultRowHeight="14"/>
  <cols>
    <col min="1" max="1" width="12.9140625" bestFit="1" customWidth="1"/>
    <col min="2" max="2" width="20.6640625" bestFit="1" customWidth="1"/>
  </cols>
  <sheetData>
    <row r="3" spans="1:2">
      <c r="A3" s="7" t="s">
        <v>406</v>
      </c>
      <c r="B3" t="s">
        <v>478</v>
      </c>
    </row>
    <row r="4" spans="1:2">
      <c r="A4" s="8" t="s">
        <v>107</v>
      </c>
      <c r="B4" s="29">
        <v>973.18381818181865</v>
      </c>
    </row>
    <row r="5" spans="1:2">
      <c r="A5" s="8" t="s">
        <v>148</v>
      </c>
      <c r="B5" s="30">
        <v>1057.798</v>
      </c>
    </row>
    <row r="6" spans="1:2">
      <c r="A6" s="8" t="s">
        <v>93</v>
      </c>
      <c r="B6" s="30">
        <v>1022.0213333333332</v>
      </c>
    </row>
    <row r="7" spans="1:2">
      <c r="A7" s="8" t="s">
        <v>461</v>
      </c>
      <c r="B7" s="30">
        <v>1003.0200000000002</v>
      </c>
    </row>
    <row r="8" spans="1:2">
      <c r="A8" s="8" t="s">
        <v>104</v>
      </c>
      <c r="B8" s="30">
        <v>1037.6264285714285</v>
      </c>
    </row>
    <row r="9" spans="1:2">
      <c r="A9" s="8" t="s">
        <v>405</v>
      </c>
      <c r="B9" s="37">
        <v>996.1797517730505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D8BA1-7973-48F5-84F7-2ADD0FCD90BF}">
  <dimension ref="A3:B13"/>
  <sheetViews>
    <sheetView workbookViewId="0">
      <selection activeCell="J27" sqref="J27"/>
    </sheetView>
  </sheetViews>
  <sheetFormatPr defaultRowHeight="14"/>
  <cols>
    <col min="1" max="1" width="12.9140625" bestFit="1" customWidth="1"/>
    <col min="2" max="2" width="18.75" bestFit="1" customWidth="1"/>
  </cols>
  <sheetData>
    <row r="3" spans="1:2">
      <c r="A3" s="7" t="s">
        <v>406</v>
      </c>
      <c r="B3" t="s">
        <v>462</v>
      </c>
    </row>
    <row r="4" spans="1:2">
      <c r="A4" s="8" t="s">
        <v>467</v>
      </c>
      <c r="B4" s="29">
        <v>26</v>
      </c>
    </row>
    <row r="5" spans="1:2">
      <c r="A5" s="8" t="s">
        <v>468</v>
      </c>
      <c r="B5" s="29">
        <v>23</v>
      </c>
    </row>
    <row r="6" spans="1:2">
      <c r="A6" s="8" t="s">
        <v>469</v>
      </c>
      <c r="B6" s="29">
        <v>34</v>
      </c>
    </row>
    <row r="7" spans="1:2">
      <c r="A7" s="8" t="s">
        <v>470</v>
      </c>
      <c r="B7" s="29">
        <v>20</v>
      </c>
    </row>
    <row r="8" spans="1:2">
      <c r="A8" s="8" t="s">
        <v>471</v>
      </c>
      <c r="B8" s="29">
        <v>6</v>
      </c>
    </row>
    <row r="9" spans="1:2">
      <c r="A9" s="8" t="s">
        <v>472</v>
      </c>
      <c r="B9" s="29">
        <v>10</v>
      </c>
    </row>
    <row r="10" spans="1:2">
      <c r="A10" s="8" t="s">
        <v>473</v>
      </c>
      <c r="B10" s="29">
        <v>55</v>
      </c>
    </row>
    <row r="11" spans="1:2">
      <c r="A11" s="8" t="s">
        <v>474</v>
      </c>
      <c r="B11" s="29">
        <v>78</v>
      </c>
    </row>
    <row r="12" spans="1:2">
      <c r="A12" s="8" t="s">
        <v>475</v>
      </c>
      <c r="B12" s="29">
        <v>30</v>
      </c>
    </row>
    <row r="13" spans="1:2">
      <c r="A13" s="8" t="s">
        <v>405</v>
      </c>
      <c r="B13" s="29">
        <v>282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443FD-B4FF-4620-B9B1-064E58C243AE}">
  <dimension ref="A6:R14"/>
  <sheetViews>
    <sheetView showGridLines="0" tabSelected="1" topLeftCell="A8" workbookViewId="0">
      <selection activeCell="U51" sqref="U51"/>
    </sheetView>
  </sheetViews>
  <sheetFormatPr defaultRowHeight="14"/>
  <sheetData>
    <row r="6" spans="1:18">
      <c r="A6" s="39"/>
      <c r="B6" s="39"/>
      <c r="C6" s="39"/>
      <c r="D6" s="40" t="s">
        <v>479</v>
      </c>
      <c r="E6" s="40"/>
      <c r="F6" s="40"/>
      <c r="G6" s="40"/>
      <c r="H6" s="40"/>
      <c r="I6" s="40"/>
      <c r="J6" s="40"/>
      <c r="K6" s="40"/>
      <c r="L6" s="40"/>
      <c r="M6" s="40"/>
      <c r="N6" s="40"/>
      <c r="O6" s="40"/>
      <c r="P6" s="40"/>
      <c r="Q6" s="40"/>
      <c r="R6" s="40"/>
    </row>
    <row r="7" spans="1:18">
      <c r="A7" s="39"/>
      <c r="B7" s="39"/>
      <c r="C7" s="39"/>
      <c r="D7" s="40"/>
      <c r="E7" s="40"/>
      <c r="F7" s="40"/>
      <c r="G7" s="40"/>
      <c r="H7" s="40"/>
      <c r="I7" s="40"/>
      <c r="J7" s="40"/>
      <c r="K7" s="40"/>
      <c r="L7" s="40"/>
      <c r="M7" s="40"/>
      <c r="N7" s="40"/>
      <c r="O7" s="40"/>
      <c r="P7" s="40"/>
      <c r="Q7" s="40"/>
      <c r="R7" s="40"/>
    </row>
    <row r="8" spans="1:18">
      <c r="A8" s="39"/>
      <c r="B8" s="39"/>
      <c r="C8" s="39"/>
      <c r="D8" s="40"/>
      <c r="E8" s="40"/>
      <c r="F8" s="40"/>
      <c r="G8" s="40"/>
      <c r="H8" s="40"/>
      <c r="I8" s="40"/>
      <c r="J8" s="40"/>
      <c r="K8" s="40"/>
      <c r="L8" s="40"/>
      <c r="M8" s="40"/>
      <c r="N8" s="40"/>
      <c r="O8" s="40"/>
      <c r="P8" s="40"/>
      <c r="Q8" s="40"/>
      <c r="R8" s="40"/>
    </row>
    <row r="9" spans="1:18">
      <c r="A9" s="39"/>
      <c r="B9" s="39"/>
      <c r="C9" s="39"/>
      <c r="D9" s="39"/>
      <c r="E9" s="39"/>
      <c r="F9" s="39"/>
      <c r="G9" s="39"/>
      <c r="H9" s="39"/>
      <c r="I9" s="39"/>
      <c r="J9" s="39"/>
      <c r="K9" s="39"/>
      <c r="L9" s="39"/>
      <c r="M9" s="39"/>
      <c r="N9" s="39"/>
      <c r="O9" s="39"/>
      <c r="P9" s="39"/>
      <c r="Q9" s="39"/>
      <c r="R9" s="39"/>
    </row>
    <row r="10" spans="1:18" ht="25">
      <c r="D10" s="35">
        <f>GETPIVOTDATA("Student_ID",PivotGender!$A$3)</f>
        <v>300</v>
      </c>
      <c r="E10" s="35"/>
      <c r="F10" s="36"/>
      <c r="G10" s="35">
        <f>GETPIVOTDATA("Tuition_Fee",PivotErollment_status!$A$3,"Enrollment_Status","Active")</f>
        <v>175</v>
      </c>
      <c r="H10" s="35"/>
      <c r="J10" s="35">
        <f>GETPIVOTDATA("Tuition_Fee",PivotErollment_status!$A$3,"Enrollment_Status","Graduated")</f>
        <v>64</v>
      </c>
      <c r="K10" s="35"/>
      <c r="M10" s="38">
        <f>GETPIVOTDATA("Tuition_Fee",PivotTuitionByStudy_mode!$A$3)</f>
        <v>996.1797517730505</v>
      </c>
      <c r="N10" s="38"/>
      <c r="P10" s="38">
        <f>GETPIVOTDATA("Tuition_Fee",Avaregetuition!$A$3)</f>
        <v>996.17975177304947</v>
      </c>
      <c r="Q10" s="38"/>
    </row>
    <row r="11" spans="1:18" ht="14" customHeight="1">
      <c r="D11" s="35"/>
      <c r="E11" s="35"/>
      <c r="F11" s="36"/>
      <c r="G11" s="35"/>
      <c r="H11" s="35"/>
      <c r="J11" s="35"/>
      <c r="K11" s="35"/>
      <c r="M11" s="38"/>
      <c r="N11" s="38"/>
      <c r="P11" s="38"/>
      <c r="Q11" s="38"/>
    </row>
    <row r="12" spans="1:18" ht="14" customHeight="1">
      <c r="D12" s="35"/>
      <c r="E12" s="35"/>
      <c r="F12" s="36"/>
      <c r="G12" s="35"/>
      <c r="H12" s="35"/>
      <c r="J12" s="35"/>
      <c r="K12" s="35"/>
      <c r="M12" s="38"/>
      <c r="N12" s="38"/>
      <c r="P12" s="38"/>
      <c r="Q12" s="38"/>
    </row>
    <row r="13" spans="1:18" ht="15.5">
      <c r="D13" s="41" t="s">
        <v>476</v>
      </c>
      <c r="E13" s="41"/>
      <c r="F13" s="42"/>
      <c r="G13" s="41" t="s">
        <v>117</v>
      </c>
      <c r="H13" s="41"/>
      <c r="I13" s="42"/>
      <c r="J13" s="41" t="s">
        <v>481</v>
      </c>
      <c r="K13" s="41"/>
      <c r="L13" s="43"/>
      <c r="M13" s="41" t="s">
        <v>477</v>
      </c>
      <c r="N13" s="41"/>
      <c r="O13" s="43"/>
      <c r="P13" s="44" t="s">
        <v>480</v>
      </c>
      <c r="Q13" s="44"/>
    </row>
    <row r="14" spans="1:18" ht="15.5">
      <c r="D14" s="41"/>
      <c r="E14" s="41"/>
      <c r="F14" s="42"/>
      <c r="G14" s="41"/>
      <c r="H14" s="41"/>
      <c r="I14" s="42"/>
      <c r="J14" s="41"/>
      <c r="K14" s="41"/>
      <c r="L14" s="43"/>
      <c r="M14" s="41"/>
      <c r="N14" s="41"/>
      <c r="O14" s="43"/>
      <c r="P14" s="44"/>
      <c r="Q14" s="44"/>
    </row>
  </sheetData>
  <mergeCells count="11">
    <mergeCell ref="D6:R8"/>
    <mergeCell ref="J13:K14"/>
    <mergeCell ref="J10:K12"/>
    <mergeCell ref="M10:N12"/>
    <mergeCell ref="M13:N14"/>
    <mergeCell ref="P10:Q12"/>
    <mergeCell ref="P13:Q14"/>
    <mergeCell ref="D10:E12"/>
    <mergeCell ref="D13:E14"/>
    <mergeCell ref="G10:H12"/>
    <mergeCell ref="G13:H1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A00D6-E187-4476-AF74-77DBDD487CCF}">
  <dimension ref="A3:B9"/>
  <sheetViews>
    <sheetView workbookViewId="0">
      <selection activeCell="A3" sqref="A3"/>
    </sheetView>
  </sheetViews>
  <sheetFormatPr defaultRowHeight="14"/>
  <cols>
    <col min="1" max="1" width="14.6640625" bestFit="1" customWidth="1"/>
    <col min="2" max="2" width="18.75" bestFit="1" customWidth="1"/>
    <col min="3" max="4" width="15.58203125" bestFit="1" customWidth="1"/>
    <col min="5" max="5" width="10.83203125" bestFit="1" customWidth="1"/>
  </cols>
  <sheetData>
    <row r="3" spans="1:2">
      <c r="A3" s="7" t="s">
        <v>406</v>
      </c>
      <c r="B3" t="s">
        <v>462</v>
      </c>
    </row>
    <row r="4" spans="1:2">
      <c r="A4" s="8" t="s">
        <v>92</v>
      </c>
      <c r="B4" s="29">
        <v>162</v>
      </c>
    </row>
    <row r="5" spans="1:2">
      <c r="A5" s="8" t="s">
        <v>458</v>
      </c>
      <c r="B5" s="29">
        <v>19</v>
      </c>
    </row>
    <row r="6" spans="1:2">
      <c r="A6" s="8" t="s">
        <v>102</v>
      </c>
      <c r="B6" s="29">
        <v>60</v>
      </c>
    </row>
    <row r="7" spans="1:2">
      <c r="A7" s="8" t="s">
        <v>116</v>
      </c>
      <c r="B7" s="29">
        <v>59</v>
      </c>
    </row>
    <row r="8" spans="1:2">
      <c r="A8" s="8" t="s">
        <v>405</v>
      </c>
      <c r="B8" s="29">
        <v>300</v>
      </c>
    </row>
    <row r="9" spans="1:2">
      <c r="B9" s="29"/>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4B6C3-87BF-4DCF-82FC-47D1682D2E60}">
  <dimension ref="A3:B8"/>
  <sheetViews>
    <sheetView workbookViewId="0">
      <selection activeCell="P56" sqref="P56"/>
    </sheetView>
  </sheetViews>
  <sheetFormatPr defaultRowHeight="14"/>
  <cols>
    <col min="1" max="1" width="14.6640625" bestFit="1" customWidth="1"/>
    <col min="2" max="2" width="18.1640625" bestFit="1" customWidth="1"/>
  </cols>
  <sheetData>
    <row r="3" spans="1:2">
      <c r="A3" s="7" t="s">
        <v>406</v>
      </c>
      <c r="B3" t="s">
        <v>407</v>
      </c>
    </row>
    <row r="4" spans="1:2">
      <c r="A4" s="8" t="s">
        <v>92</v>
      </c>
      <c r="B4" s="29">
        <v>162</v>
      </c>
    </row>
    <row r="5" spans="1:2">
      <c r="A5" s="8" t="s">
        <v>458</v>
      </c>
      <c r="B5" s="29">
        <v>19</v>
      </c>
    </row>
    <row r="6" spans="1:2">
      <c r="A6" s="8" t="s">
        <v>102</v>
      </c>
      <c r="B6" s="29">
        <v>60</v>
      </c>
    </row>
    <row r="7" spans="1:2">
      <c r="A7" s="8" t="s">
        <v>116</v>
      </c>
      <c r="B7" s="29">
        <v>59</v>
      </c>
    </row>
    <row r="8" spans="1:2">
      <c r="A8" s="8" t="s">
        <v>405</v>
      </c>
      <c r="B8" s="29">
        <v>300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9F187-3B19-428B-BDED-A6CA445F893F}">
  <dimension ref="A3:A4"/>
  <sheetViews>
    <sheetView workbookViewId="0">
      <selection activeCell="A4" sqref="A4"/>
    </sheetView>
  </sheetViews>
  <sheetFormatPr defaultRowHeight="14"/>
  <cols>
    <col min="1" max="1" width="20.6640625" bestFit="1" customWidth="1"/>
  </cols>
  <sheetData>
    <row r="3" spans="1:1">
      <c r="A3" t="s">
        <v>478</v>
      </c>
    </row>
    <row r="4" spans="1:1">
      <c r="A4" s="9">
        <v>996.17975177304947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3AB49-6F7B-42C4-B74C-B13790A64CAB}">
  <dimension ref="A1:L301"/>
  <sheetViews>
    <sheetView topLeftCell="A2" workbookViewId="0">
      <selection activeCell="J301" sqref="A1:J301"/>
    </sheetView>
  </sheetViews>
  <sheetFormatPr defaultRowHeight="14"/>
  <cols>
    <col min="1" max="1" width="18" customWidth="1"/>
    <col min="2" max="4" width="21" customWidth="1"/>
    <col min="5" max="6" width="18" customWidth="1"/>
    <col min="7" max="7" width="20" customWidth="1"/>
    <col min="10" max="10" width="26.4140625" bestFit="1" customWidth="1"/>
  </cols>
  <sheetData>
    <row r="1" spans="1:10">
      <c r="A1" s="3" t="s">
        <v>82</v>
      </c>
      <c r="B1" s="3" t="s">
        <v>83</v>
      </c>
      <c r="C1" s="3" t="s">
        <v>84</v>
      </c>
      <c r="D1" s="3" t="s">
        <v>85</v>
      </c>
      <c r="E1" s="3" t="s">
        <v>86</v>
      </c>
      <c r="F1" s="3" t="s">
        <v>87</v>
      </c>
      <c r="G1" s="3" t="s">
        <v>88</v>
      </c>
      <c r="H1" s="32" t="s">
        <v>463</v>
      </c>
      <c r="I1" s="32" t="s">
        <v>464</v>
      </c>
      <c r="J1" s="32" t="s">
        <v>465</v>
      </c>
    </row>
    <row r="2" spans="1:10">
      <c r="A2" t="s">
        <v>206</v>
      </c>
      <c r="B2" t="s">
        <v>100</v>
      </c>
      <c r="C2" t="s">
        <v>91</v>
      </c>
      <c r="D2" s="33">
        <v>45994</v>
      </c>
      <c r="E2" t="s">
        <v>92</v>
      </c>
      <c r="F2" s="5">
        <v>927.99</v>
      </c>
      <c r="G2" t="s">
        <v>461</v>
      </c>
      <c r="H2">
        <f>YEAR(Table1[[#This Row],[Enrollment_Date]])</f>
        <v>2025</v>
      </c>
      <c r="I2">
        <f>MONTH(Table1[[#This Row],[Enrollment_Date]])</f>
        <v>12</v>
      </c>
      <c r="J2" s="34">
        <f>IF(ISNUMBER(D2),D2,"")</f>
        <v>45994</v>
      </c>
    </row>
    <row r="3" spans="1:10">
      <c r="A3" t="s">
        <v>325</v>
      </c>
      <c r="B3" t="s">
        <v>90</v>
      </c>
      <c r="C3" t="s">
        <v>91</v>
      </c>
      <c r="D3" s="33">
        <v>45995</v>
      </c>
      <c r="E3" t="s">
        <v>102</v>
      </c>
      <c r="F3" s="5">
        <v>929.8</v>
      </c>
      <c r="G3" t="s">
        <v>107</v>
      </c>
      <c r="H3">
        <f>YEAR(Table1[[#This Row],[Enrollment_Date]])</f>
        <v>2025</v>
      </c>
      <c r="I3">
        <f>MONTH(Table1[[#This Row],[Enrollment_Date]])</f>
        <v>12</v>
      </c>
      <c r="J3" s="34">
        <f t="shared" ref="J3:J66" si="0">IF(ISNUMBER(D3),D3,"")</f>
        <v>45995</v>
      </c>
    </row>
    <row r="4" spans="1:10">
      <c r="A4" t="s">
        <v>341</v>
      </c>
      <c r="B4" t="s">
        <v>100</v>
      </c>
      <c r="C4" t="s">
        <v>95</v>
      </c>
      <c r="D4" s="33">
        <v>45996</v>
      </c>
      <c r="E4" t="s">
        <v>92</v>
      </c>
      <c r="F4" s="5">
        <v>1028.3499999999999</v>
      </c>
      <c r="G4" t="s">
        <v>107</v>
      </c>
      <c r="H4">
        <f>YEAR(Table1[[#This Row],[Enrollment_Date]])</f>
        <v>2025</v>
      </c>
      <c r="I4">
        <f>MONTH(Table1[[#This Row],[Enrollment_Date]])</f>
        <v>12</v>
      </c>
      <c r="J4" s="34">
        <f t="shared" si="0"/>
        <v>45996</v>
      </c>
    </row>
    <row r="5" spans="1:10">
      <c r="A5" t="s">
        <v>294</v>
      </c>
      <c r="B5" t="s">
        <v>100</v>
      </c>
      <c r="C5" t="s">
        <v>115</v>
      </c>
      <c r="D5" s="33">
        <v>45997</v>
      </c>
      <c r="E5" t="s">
        <v>116</v>
      </c>
      <c r="F5" s="5">
        <v>0</v>
      </c>
      <c r="G5" t="s">
        <v>107</v>
      </c>
      <c r="H5">
        <f>YEAR(Table1[[#This Row],[Enrollment_Date]])</f>
        <v>2025</v>
      </c>
      <c r="I5">
        <f>MONTH(Table1[[#This Row],[Enrollment_Date]])</f>
        <v>12</v>
      </c>
      <c r="J5" s="34">
        <f t="shared" si="0"/>
        <v>45997</v>
      </c>
    </row>
    <row r="6" spans="1:10">
      <c r="A6" t="s">
        <v>259</v>
      </c>
      <c r="B6" t="s">
        <v>90</v>
      </c>
      <c r="C6" t="s">
        <v>91</v>
      </c>
      <c r="D6" s="33">
        <v>45998</v>
      </c>
      <c r="E6" t="s">
        <v>92</v>
      </c>
      <c r="F6" s="5">
        <v>1035.3900000000001</v>
      </c>
      <c r="G6" t="s">
        <v>107</v>
      </c>
      <c r="H6">
        <f>YEAR(Table1[[#This Row],[Enrollment_Date]])</f>
        <v>2025</v>
      </c>
      <c r="I6">
        <f>MONTH(Table1[[#This Row],[Enrollment_Date]])</f>
        <v>12</v>
      </c>
      <c r="J6" s="34">
        <f t="shared" si="0"/>
        <v>45998</v>
      </c>
    </row>
    <row r="7" spans="1:10">
      <c r="A7" t="s">
        <v>408</v>
      </c>
      <c r="B7" t="s">
        <v>90</v>
      </c>
      <c r="C7" t="s">
        <v>456</v>
      </c>
      <c r="D7" s="33">
        <v>45999</v>
      </c>
      <c r="E7" t="s">
        <v>92</v>
      </c>
      <c r="F7" s="5">
        <v>1254.82</v>
      </c>
      <c r="G7" t="s">
        <v>104</v>
      </c>
      <c r="H7">
        <f>YEAR(Table1[[#This Row],[Enrollment_Date]])</f>
        <v>2025</v>
      </c>
      <c r="I7">
        <f>MONTH(Table1[[#This Row],[Enrollment_Date]])</f>
        <v>12</v>
      </c>
      <c r="J7" s="34">
        <f t="shared" si="0"/>
        <v>45999</v>
      </c>
    </row>
    <row r="8" spans="1:10">
      <c r="A8" t="s">
        <v>369</v>
      </c>
      <c r="B8" t="s">
        <v>100</v>
      </c>
      <c r="C8" t="s">
        <v>95</v>
      </c>
      <c r="D8" s="33">
        <v>46000</v>
      </c>
      <c r="E8" t="s">
        <v>92</v>
      </c>
      <c r="F8" s="5">
        <v>825.79</v>
      </c>
      <c r="G8" t="s">
        <v>93</v>
      </c>
      <c r="H8">
        <f>YEAR(Table1[[#This Row],[Enrollment_Date]])</f>
        <v>2025</v>
      </c>
      <c r="I8">
        <f>MONTH(Table1[[#This Row],[Enrollment_Date]])</f>
        <v>12</v>
      </c>
      <c r="J8" s="34">
        <f t="shared" si="0"/>
        <v>46000</v>
      </c>
    </row>
    <row r="9" spans="1:10">
      <c r="A9" t="s">
        <v>386</v>
      </c>
      <c r="B9" t="s">
        <v>100</v>
      </c>
      <c r="C9" t="s">
        <v>91</v>
      </c>
      <c r="D9" s="33">
        <v>46001</v>
      </c>
      <c r="E9" t="s">
        <v>116</v>
      </c>
      <c r="F9" s="5">
        <v>1034.99</v>
      </c>
      <c r="G9" t="s">
        <v>148</v>
      </c>
      <c r="H9">
        <f>YEAR(Table1[[#This Row],[Enrollment_Date]])</f>
        <v>2025</v>
      </c>
      <c r="I9">
        <f>MONTH(Table1[[#This Row],[Enrollment_Date]])</f>
        <v>12</v>
      </c>
      <c r="J9" s="34">
        <f t="shared" si="0"/>
        <v>46001</v>
      </c>
    </row>
    <row r="10" spans="1:10">
      <c r="A10" t="s">
        <v>182</v>
      </c>
      <c r="B10" t="s">
        <v>90</v>
      </c>
      <c r="C10" t="s">
        <v>91</v>
      </c>
      <c r="D10" s="33">
        <v>46002</v>
      </c>
      <c r="E10" t="s">
        <v>92</v>
      </c>
      <c r="F10" s="5">
        <v>1006.87</v>
      </c>
      <c r="G10" t="s">
        <v>107</v>
      </c>
      <c r="H10">
        <f>YEAR(Table1[[#This Row],[Enrollment_Date]])</f>
        <v>2025</v>
      </c>
      <c r="I10">
        <f>MONTH(Table1[[#This Row],[Enrollment_Date]])</f>
        <v>12</v>
      </c>
      <c r="J10" s="34">
        <f t="shared" si="0"/>
        <v>46002</v>
      </c>
    </row>
    <row r="11" spans="1:10">
      <c r="A11" t="s">
        <v>318</v>
      </c>
      <c r="B11" t="s">
        <v>455</v>
      </c>
      <c r="C11" t="s">
        <v>91</v>
      </c>
      <c r="D11" s="33">
        <v>46003</v>
      </c>
      <c r="E11" t="s">
        <v>116</v>
      </c>
      <c r="F11" s="5">
        <v>896.69</v>
      </c>
      <c r="G11" t="s">
        <v>93</v>
      </c>
      <c r="H11">
        <f>YEAR(Table1[[#This Row],[Enrollment_Date]])</f>
        <v>2025</v>
      </c>
      <c r="I11">
        <f>MONTH(Table1[[#This Row],[Enrollment_Date]])</f>
        <v>12</v>
      </c>
      <c r="J11" s="34">
        <f t="shared" si="0"/>
        <v>46003</v>
      </c>
    </row>
    <row r="12" spans="1:10">
      <c r="A12" t="s">
        <v>290</v>
      </c>
      <c r="B12" t="s">
        <v>90</v>
      </c>
      <c r="C12" t="s">
        <v>91</v>
      </c>
      <c r="D12" s="33">
        <v>46004</v>
      </c>
      <c r="E12" t="s">
        <v>116</v>
      </c>
      <c r="F12" s="5">
        <v>1046.24</v>
      </c>
      <c r="G12" t="s">
        <v>93</v>
      </c>
      <c r="H12">
        <f>YEAR(Table1[[#This Row],[Enrollment_Date]])</f>
        <v>2025</v>
      </c>
      <c r="I12">
        <f>MONTH(Table1[[#This Row],[Enrollment_Date]])</f>
        <v>12</v>
      </c>
      <c r="J12" s="34">
        <f t="shared" si="0"/>
        <v>46004</v>
      </c>
    </row>
    <row r="13" spans="1:10">
      <c r="A13" t="s">
        <v>186</v>
      </c>
      <c r="B13" t="s">
        <v>100</v>
      </c>
      <c r="C13" t="s">
        <v>115</v>
      </c>
      <c r="D13" s="33">
        <v>46005</v>
      </c>
      <c r="E13" t="s">
        <v>458</v>
      </c>
      <c r="F13" s="5">
        <v>0</v>
      </c>
      <c r="G13" t="s">
        <v>107</v>
      </c>
      <c r="H13">
        <f>YEAR(Table1[[#This Row],[Enrollment_Date]])</f>
        <v>2025</v>
      </c>
      <c r="I13">
        <f>MONTH(Table1[[#This Row],[Enrollment_Date]])</f>
        <v>12</v>
      </c>
      <c r="J13" s="34">
        <f t="shared" si="0"/>
        <v>46005</v>
      </c>
    </row>
    <row r="14" spans="1:10">
      <c r="A14" t="s">
        <v>409</v>
      </c>
      <c r="B14" t="s">
        <v>90</v>
      </c>
      <c r="C14" t="s">
        <v>115</v>
      </c>
      <c r="D14" s="33">
        <v>46006</v>
      </c>
      <c r="E14" t="s">
        <v>92</v>
      </c>
      <c r="F14" s="5">
        <v>1140.6500000000001</v>
      </c>
      <c r="G14" t="s">
        <v>107</v>
      </c>
      <c r="H14">
        <f>YEAR(Table1[[#This Row],[Enrollment_Date]])</f>
        <v>2025</v>
      </c>
      <c r="I14">
        <f>MONTH(Table1[[#This Row],[Enrollment_Date]])</f>
        <v>12</v>
      </c>
      <c r="J14" s="34">
        <f t="shared" si="0"/>
        <v>46006</v>
      </c>
    </row>
    <row r="15" spans="1:10">
      <c r="A15" t="s">
        <v>256</v>
      </c>
      <c r="B15" t="s">
        <v>100</v>
      </c>
      <c r="C15" t="s">
        <v>91</v>
      </c>
      <c r="D15" s="33">
        <v>46007</v>
      </c>
      <c r="E15" t="s">
        <v>92</v>
      </c>
      <c r="F15" s="5">
        <v>890.93</v>
      </c>
      <c r="G15" t="s">
        <v>107</v>
      </c>
      <c r="H15">
        <f>YEAR(Table1[[#This Row],[Enrollment_Date]])</f>
        <v>2025</v>
      </c>
      <c r="I15">
        <f>MONTH(Table1[[#This Row],[Enrollment_Date]])</f>
        <v>12</v>
      </c>
      <c r="J15" s="34">
        <f t="shared" si="0"/>
        <v>46007</v>
      </c>
    </row>
    <row r="16" spans="1:10">
      <c r="A16" t="s">
        <v>372</v>
      </c>
      <c r="B16" t="s">
        <v>100</v>
      </c>
      <c r="C16" t="s">
        <v>456</v>
      </c>
      <c r="D16" s="33">
        <v>46008</v>
      </c>
      <c r="E16" t="s">
        <v>92</v>
      </c>
      <c r="F16" s="5">
        <v>1239.3399999999999</v>
      </c>
      <c r="G16" t="s">
        <v>104</v>
      </c>
      <c r="H16">
        <f>YEAR(Table1[[#This Row],[Enrollment_Date]])</f>
        <v>2025</v>
      </c>
      <c r="I16">
        <f>MONTH(Table1[[#This Row],[Enrollment_Date]])</f>
        <v>12</v>
      </c>
      <c r="J16" s="34">
        <f t="shared" si="0"/>
        <v>46008</v>
      </c>
    </row>
    <row r="17" spans="1:12">
      <c r="A17" t="s">
        <v>208</v>
      </c>
      <c r="B17" t="s">
        <v>90</v>
      </c>
      <c r="C17" t="s">
        <v>456</v>
      </c>
      <c r="D17" s="33">
        <v>46009</v>
      </c>
      <c r="E17" t="s">
        <v>102</v>
      </c>
      <c r="F17" s="5">
        <v>1245.26</v>
      </c>
      <c r="G17" t="s">
        <v>148</v>
      </c>
      <c r="H17">
        <f>YEAR(Table1[[#This Row],[Enrollment_Date]])</f>
        <v>2025</v>
      </c>
      <c r="I17">
        <f>MONTH(Table1[[#This Row],[Enrollment_Date]])</f>
        <v>12</v>
      </c>
      <c r="J17" s="34">
        <f t="shared" si="0"/>
        <v>46009</v>
      </c>
    </row>
    <row r="18" spans="1:12">
      <c r="A18" t="s">
        <v>267</v>
      </c>
      <c r="B18" t="s">
        <v>100</v>
      </c>
      <c r="C18" t="s">
        <v>115</v>
      </c>
      <c r="D18" s="33">
        <v>46010</v>
      </c>
      <c r="E18" t="s">
        <v>92</v>
      </c>
      <c r="F18" s="5">
        <v>1175.69</v>
      </c>
      <c r="G18" t="s">
        <v>93</v>
      </c>
      <c r="H18">
        <f>YEAR(Table1[[#This Row],[Enrollment_Date]])</f>
        <v>2025</v>
      </c>
      <c r="I18">
        <f>MONTH(Table1[[#This Row],[Enrollment_Date]])</f>
        <v>12</v>
      </c>
      <c r="J18" s="34">
        <f t="shared" si="0"/>
        <v>46010</v>
      </c>
      <c r="L18" s="33"/>
    </row>
    <row r="19" spans="1:12">
      <c r="A19" t="s">
        <v>178</v>
      </c>
      <c r="B19" t="s">
        <v>90</v>
      </c>
      <c r="C19" t="s">
        <v>91</v>
      </c>
      <c r="D19" s="33">
        <v>46011</v>
      </c>
      <c r="E19" t="s">
        <v>102</v>
      </c>
      <c r="F19" s="5">
        <v>905.83</v>
      </c>
      <c r="G19" t="s">
        <v>93</v>
      </c>
      <c r="H19">
        <f>YEAR(Table1[[#This Row],[Enrollment_Date]])</f>
        <v>2025</v>
      </c>
      <c r="I19">
        <f>MONTH(Table1[[#This Row],[Enrollment_Date]])</f>
        <v>12</v>
      </c>
      <c r="J19" s="34">
        <f t="shared" si="0"/>
        <v>46011</v>
      </c>
    </row>
    <row r="20" spans="1:12">
      <c r="A20" t="s">
        <v>137</v>
      </c>
      <c r="B20" t="s">
        <v>100</v>
      </c>
      <c r="C20" t="s">
        <v>110</v>
      </c>
      <c r="D20" s="33">
        <v>46012</v>
      </c>
      <c r="E20" t="s">
        <v>116</v>
      </c>
      <c r="F20" s="5">
        <v>893.17</v>
      </c>
      <c r="G20" t="s">
        <v>107</v>
      </c>
      <c r="H20">
        <f>YEAR(Table1[[#This Row],[Enrollment_Date]])</f>
        <v>2025</v>
      </c>
      <c r="I20">
        <f>MONTH(Table1[[#This Row],[Enrollment_Date]])</f>
        <v>12</v>
      </c>
      <c r="J20" s="34">
        <f t="shared" si="0"/>
        <v>46012</v>
      </c>
    </row>
    <row r="21" spans="1:12">
      <c r="A21" t="s">
        <v>173</v>
      </c>
      <c r="B21" t="s">
        <v>455</v>
      </c>
      <c r="C21" t="s">
        <v>115</v>
      </c>
      <c r="D21" s="33">
        <v>46013</v>
      </c>
      <c r="E21" t="s">
        <v>92</v>
      </c>
      <c r="F21" s="5">
        <v>1065.3699999999999</v>
      </c>
      <c r="G21" t="s">
        <v>107</v>
      </c>
      <c r="H21">
        <f>YEAR(Table1[[#This Row],[Enrollment_Date]])</f>
        <v>2025</v>
      </c>
      <c r="I21">
        <f>MONTH(Table1[[#This Row],[Enrollment_Date]])</f>
        <v>12</v>
      </c>
      <c r="J21" s="34">
        <f t="shared" si="0"/>
        <v>46013</v>
      </c>
    </row>
    <row r="22" spans="1:12">
      <c r="A22" t="s">
        <v>162</v>
      </c>
      <c r="B22" t="s">
        <v>90</v>
      </c>
      <c r="C22" t="s">
        <v>115</v>
      </c>
      <c r="D22" s="33">
        <v>46014</v>
      </c>
      <c r="E22" t="s">
        <v>92</v>
      </c>
      <c r="F22" s="5">
        <v>1172</v>
      </c>
      <c r="G22" t="s">
        <v>148</v>
      </c>
      <c r="H22">
        <f>YEAR(Table1[[#This Row],[Enrollment_Date]])</f>
        <v>2025</v>
      </c>
      <c r="I22">
        <f>MONTH(Table1[[#This Row],[Enrollment_Date]])</f>
        <v>12</v>
      </c>
      <c r="J22" s="34">
        <f t="shared" si="0"/>
        <v>46014</v>
      </c>
    </row>
    <row r="23" spans="1:12">
      <c r="A23" t="s">
        <v>169</v>
      </c>
      <c r="B23" t="s">
        <v>90</v>
      </c>
      <c r="C23" t="s">
        <v>95</v>
      </c>
      <c r="D23" s="33">
        <v>46015</v>
      </c>
      <c r="E23" t="s">
        <v>92</v>
      </c>
      <c r="F23" s="5">
        <v>0</v>
      </c>
      <c r="G23" t="s">
        <v>104</v>
      </c>
      <c r="H23">
        <f>YEAR(Table1[[#This Row],[Enrollment_Date]])</f>
        <v>2025</v>
      </c>
      <c r="I23">
        <f>MONTH(Table1[[#This Row],[Enrollment_Date]])</f>
        <v>12</v>
      </c>
      <c r="J23" s="34">
        <f t="shared" si="0"/>
        <v>46015</v>
      </c>
    </row>
    <row r="24" spans="1:12" hidden="1">
      <c r="A24" t="s">
        <v>154</v>
      </c>
      <c r="B24" t="s">
        <v>90</v>
      </c>
      <c r="C24" t="s">
        <v>115</v>
      </c>
      <c r="D24" s="4" t="s">
        <v>457</v>
      </c>
      <c r="E24" t="s">
        <v>92</v>
      </c>
      <c r="F24" s="5">
        <v>1129.42</v>
      </c>
      <c r="G24" t="s">
        <v>93</v>
      </c>
      <c r="H24" t="e">
        <f>YEAR(Table1[[#This Row],[Enrollment_Date]])</f>
        <v>#VALUE!</v>
      </c>
      <c r="I24" t="e">
        <f>MONTH(Table1[[#This Row],[Enrollment_Date]])</f>
        <v>#VALUE!</v>
      </c>
      <c r="J24" s="34" t="str">
        <f t="shared" si="0"/>
        <v/>
      </c>
    </row>
    <row r="25" spans="1:12" hidden="1">
      <c r="A25" t="s">
        <v>188</v>
      </c>
      <c r="B25" t="s">
        <v>90</v>
      </c>
      <c r="C25" t="s">
        <v>115</v>
      </c>
      <c r="D25" s="4" t="s">
        <v>457</v>
      </c>
      <c r="E25" t="s">
        <v>92</v>
      </c>
      <c r="F25" s="5">
        <v>1048</v>
      </c>
      <c r="G25" t="s">
        <v>107</v>
      </c>
      <c r="H25" t="e">
        <f>YEAR(Table1[[#This Row],[Enrollment_Date]])</f>
        <v>#VALUE!</v>
      </c>
      <c r="I25" t="e">
        <f>MONTH(Table1[[#This Row],[Enrollment_Date]])</f>
        <v>#VALUE!</v>
      </c>
      <c r="J25" s="34" t="str">
        <f t="shared" si="0"/>
        <v/>
      </c>
    </row>
    <row r="26" spans="1:12">
      <c r="A26" t="s">
        <v>184</v>
      </c>
      <c r="B26" t="s">
        <v>90</v>
      </c>
      <c r="C26" t="s">
        <v>115</v>
      </c>
      <c r="D26" s="33">
        <v>45887</v>
      </c>
      <c r="E26" t="s">
        <v>92</v>
      </c>
      <c r="F26" s="5">
        <v>0</v>
      </c>
      <c r="G26" t="s">
        <v>107</v>
      </c>
      <c r="H26">
        <f>YEAR(Table1[[#This Row],[Enrollment_Date]])</f>
        <v>2025</v>
      </c>
      <c r="I26">
        <f>MONTH(Table1[[#This Row],[Enrollment_Date]])</f>
        <v>8</v>
      </c>
      <c r="J26" s="34">
        <f t="shared" si="0"/>
        <v>45887</v>
      </c>
    </row>
    <row r="27" spans="1:12">
      <c r="A27" t="s">
        <v>174</v>
      </c>
      <c r="B27" t="s">
        <v>100</v>
      </c>
      <c r="C27" t="s">
        <v>91</v>
      </c>
      <c r="D27" s="33">
        <v>45888</v>
      </c>
      <c r="E27" t="s">
        <v>458</v>
      </c>
      <c r="F27" s="5">
        <v>1014.33</v>
      </c>
      <c r="G27" t="s">
        <v>93</v>
      </c>
      <c r="H27">
        <f>YEAR(Table1[[#This Row],[Enrollment_Date]])</f>
        <v>2025</v>
      </c>
      <c r="I27">
        <f>MONTH(Table1[[#This Row],[Enrollment_Date]])</f>
        <v>8</v>
      </c>
      <c r="J27" s="34">
        <f t="shared" si="0"/>
        <v>45888</v>
      </c>
    </row>
    <row r="28" spans="1:12">
      <c r="A28" t="s">
        <v>233</v>
      </c>
      <c r="B28" t="s">
        <v>100</v>
      </c>
      <c r="C28" t="s">
        <v>95</v>
      </c>
      <c r="D28" s="33">
        <v>45889</v>
      </c>
      <c r="E28" t="s">
        <v>92</v>
      </c>
      <c r="F28" s="5">
        <v>877.02</v>
      </c>
      <c r="G28" t="s">
        <v>107</v>
      </c>
      <c r="H28">
        <f>YEAR(Table1[[#This Row],[Enrollment_Date]])</f>
        <v>2025</v>
      </c>
      <c r="I28">
        <f>MONTH(Table1[[#This Row],[Enrollment_Date]])</f>
        <v>8</v>
      </c>
      <c r="J28" s="34">
        <f t="shared" si="0"/>
        <v>45889</v>
      </c>
    </row>
    <row r="29" spans="1:12">
      <c r="A29" t="s">
        <v>305</v>
      </c>
      <c r="B29" t="s">
        <v>90</v>
      </c>
      <c r="C29" t="s">
        <v>115</v>
      </c>
      <c r="D29" s="33">
        <v>45890</v>
      </c>
      <c r="E29" t="s">
        <v>92</v>
      </c>
      <c r="F29" s="5">
        <v>0</v>
      </c>
      <c r="G29" t="s">
        <v>107</v>
      </c>
      <c r="H29">
        <f>YEAR(Table1[[#This Row],[Enrollment_Date]])</f>
        <v>2025</v>
      </c>
      <c r="I29">
        <f>MONTH(Table1[[#This Row],[Enrollment_Date]])</f>
        <v>8</v>
      </c>
      <c r="J29" s="34">
        <f t="shared" si="0"/>
        <v>45890</v>
      </c>
    </row>
    <row r="30" spans="1:12">
      <c r="A30" t="s">
        <v>230</v>
      </c>
      <c r="B30" t="s">
        <v>100</v>
      </c>
      <c r="C30" t="s">
        <v>95</v>
      </c>
      <c r="D30" s="33">
        <v>45891</v>
      </c>
      <c r="E30" t="s">
        <v>92</v>
      </c>
      <c r="F30" s="5">
        <v>922.81</v>
      </c>
      <c r="G30" t="s">
        <v>107</v>
      </c>
      <c r="H30">
        <f>YEAR(Table1[[#This Row],[Enrollment_Date]])</f>
        <v>2025</v>
      </c>
      <c r="I30">
        <f>MONTH(Table1[[#This Row],[Enrollment_Date]])</f>
        <v>8</v>
      </c>
      <c r="J30" s="34">
        <f t="shared" si="0"/>
        <v>45891</v>
      </c>
    </row>
    <row r="31" spans="1:12">
      <c r="A31" t="s">
        <v>293</v>
      </c>
      <c r="B31" t="s">
        <v>100</v>
      </c>
      <c r="C31" t="s">
        <v>115</v>
      </c>
      <c r="D31" s="33">
        <v>45892</v>
      </c>
      <c r="E31" t="s">
        <v>92</v>
      </c>
      <c r="F31" s="5">
        <v>1155.26</v>
      </c>
      <c r="G31" t="s">
        <v>93</v>
      </c>
      <c r="H31">
        <f>YEAR(Table1[[#This Row],[Enrollment_Date]])</f>
        <v>2025</v>
      </c>
      <c r="I31">
        <f>MONTH(Table1[[#This Row],[Enrollment_Date]])</f>
        <v>8</v>
      </c>
      <c r="J31" s="34">
        <f t="shared" si="0"/>
        <v>45892</v>
      </c>
    </row>
    <row r="32" spans="1:12">
      <c r="A32" t="s">
        <v>133</v>
      </c>
      <c r="B32" t="s">
        <v>90</v>
      </c>
      <c r="C32" t="s">
        <v>91</v>
      </c>
      <c r="D32" s="33">
        <v>45893</v>
      </c>
      <c r="E32" t="s">
        <v>92</v>
      </c>
      <c r="F32" s="5">
        <v>1064.99</v>
      </c>
      <c r="G32" t="s">
        <v>107</v>
      </c>
      <c r="H32">
        <f>YEAR(Table1[[#This Row],[Enrollment_Date]])</f>
        <v>2025</v>
      </c>
      <c r="I32">
        <f>MONTH(Table1[[#This Row],[Enrollment_Date]])</f>
        <v>8</v>
      </c>
      <c r="J32" s="34">
        <f t="shared" si="0"/>
        <v>45893</v>
      </c>
    </row>
    <row r="33" spans="1:10" hidden="1">
      <c r="A33" t="s">
        <v>343</v>
      </c>
      <c r="B33" t="s">
        <v>90</v>
      </c>
      <c r="C33" t="s">
        <v>97</v>
      </c>
      <c r="D33" s="4" t="s">
        <v>457</v>
      </c>
      <c r="E33" t="s">
        <v>458</v>
      </c>
      <c r="F33" s="5">
        <v>808.66</v>
      </c>
      <c r="G33" t="s">
        <v>107</v>
      </c>
      <c r="H33" t="e">
        <f>YEAR(Table1[[#This Row],[Enrollment_Date]])</f>
        <v>#VALUE!</v>
      </c>
      <c r="I33" t="e">
        <f>MONTH(Table1[[#This Row],[Enrollment_Date]])</f>
        <v>#VALUE!</v>
      </c>
      <c r="J33" s="34" t="str">
        <f t="shared" si="0"/>
        <v/>
      </c>
    </row>
    <row r="34" spans="1:10">
      <c r="A34" t="s">
        <v>309</v>
      </c>
      <c r="B34" t="s">
        <v>90</v>
      </c>
      <c r="C34" t="s">
        <v>97</v>
      </c>
      <c r="D34" s="33">
        <v>46066</v>
      </c>
      <c r="E34" t="s">
        <v>116</v>
      </c>
      <c r="F34" s="5">
        <v>834.99</v>
      </c>
      <c r="G34" t="s">
        <v>107</v>
      </c>
      <c r="H34">
        <f>YEAR(Table1[[#This Row],[Enrollment_Date]])</f>
        <v>2026</v>
      </c>
      <c r="I34">
        <f>MONTH(Table1[[#This Row],[Enrollment_Date]])</f>
        <v>2</v>
      </c>
      <c r="J34" s="34">
        <f t="shared" si="0"/>
        <v>46066</v>
      </c>
    </row>
    <row r="35" spans="1:10">
      <c r="A35" t="s">
        <v>192</v>
      </c>
      <c r="B35" t="s">
        <v>100</v>
      </c>
      <c r="C35" t="s">
        <v>95</v>
      </c>
      <c r="D35" s="33">
        <v>46067</v>
      </c>
      <c r="E35" t="s">
        <v>92</v>
      </c>
      <c r="F35" s="5">
        <v>972.65</v>
      </c>
      <c r="G35" t="s">
        <v>461</v>
      </c>
      <c r="H35">
        <f>YEAR(Table1[[#This Row],[Enrollment_Date]])</f>
        <v>2026</v>
      </c>
      <c r="I35">
        <f>MONTH(Table1[[#This Row],[Enrollment_Date]])</f>
        <v>2</v>
      </c>
      <c r="J35" s="34">
        <f t="shared" si="0"/>
        <v>46067</v>
      </c>
    </row>
    <row r="36" spans="1:10">
      <c r="A36" t="s">
        <v>220</v>
      </c>
      <c r="B36" t="s">
        <v>100</v>
      </c>
      <c r="C36" t="s">
        <v>91</v>
      </c>
      <c r="D36" s="33">
        <v>46068</v>
      </c>
      <c r="E36" t="s">
        <v>102</v>
      </c>
      <c r="F36" s="5">
        <v>886.2</v>
      </c>
      <c r="G36" t="s">
        <v>461</v>
      </c>
      <c r="H36">
        <f>YEAR(Table1[[#This Row],[Enrollment_Date]])</f>
        <v>2026</v>
      </c>
      <c r="I36">
        <f>MONTH(Table1[[#This Row],[Enrollment_Date]])</f>
        <v>2</v>
      </c>
      <c r="J36" s="34">
        <f t="shared" si="0"/>
        <v>46068</v>
      </c>
    </row>
    <row r="37" spans="1:10">
      <c r="A37" t="s">
        <v>111</v>
      </c>
      <c r="B37" t="s">
        <v>90</v>
      </c>
      <c r="C37" t="s">
        <v>97</v>
      </c>
      <c r="D37" s="33">
        <v>46069</v>
      </c>
      <c r="E37" t="s">
        <v>458</v>
      </c>
      <c r="F37" s="5">
        <v>866.74</v>
      </c>
      <c r="G37" t="s">
        <v>461</v>
      </c>
      <c r="H37">
        <f>YEAR(Table1[[#This Row],[Enrollment_Date]])</f>
        <v>2026</v>
      </c>
      <c r="I37">
        <f>MONTH(Table1[[#This Row],[Enrollment_Date]])</f>
        <v>2</v>
      </c>
      <c r="J37" s="34">
        <f t="shared" si="0"/>
        <v>46069</v>
      </c>
    </row>
    <row r="38" spans="1:10">
      <c r="A38" t="s">
        <v>205</v>
      </c>
      <c r="B38" t="s">
        <v>100</v>
      </c>
      <c r="C38" t="s">
        <v>115</v>
      </c>
      <c r="D38" s="33">
        <v>46070</v>
      </c>
      <c r="E38" t="s">
        <v>92</v>
      </c>
      <c r="F38" s="5">
        <v>0</v>
      </c>
      <c r="G38" t="s">
        <v>107</v>
      </c>
      <c r="H38">
        <f>YEAR(Table1[[#This Row],[Enrollment_Date]])</f>
        <v>2026</v>
      </c>
      <c r="I38">
        <f>MONTH(Table1[[#This Row],[Enrollment_Date]])</f>
        <v>2</v>
      </c>
      <c r="J38" s="34">
        <f t="shared" si="0"/>
        <v>46070</v>
      </c>
    </row>
    <row r="39" spans="1:10">
      <c r="A39" t="s">
        <v>266</v>
      </c>
      <c r="B39" t="s">
        <v>90</v>
      </c>
      <c r="C39" t="s">
        <v>97</v>
      </c>
      <c r="D39" s="33">
        <v>46071</v>
      </c>
      <c r="E39" t="s">
        <v>102</v>
      </c>
      <c r="F39" s="5">
        <v>750.89</v>
      </c>
      <c r="G39" t="s">
        <v>107</v>
      </c>
      <c r="H39">
        <f>YEAR(Table1[[#This Row],[Enrollment_Date]])</f>
        <v>2026</v>
      </c>
      <c r="I39">
        <f>MONTH(Table1[[#This Row],[Enrollment_Date]])</f>
        <v>2</v>
      </c>
      <c r="J39" s="34">
        <f t="shared" si="0"/>
        <v>46071</v>
      </c>
    </row>
    <row r="40" spans="1:10">
      <c r="A40" t="s">
        <v>217</v>
      </c>
      <c r="B40" t="s">
        <v>100</v>
      </c>
      <c r="C40" t="s">
        <v>97</v>
      </c>
      <c r="D40" s="33">
        <v>46072</v>
      </c>
      <c r="E40" t="s">
        <v>92</v>
      </c>
      <c r="F40" s="5">
        <v>736.59</v>
      </c>
      <c r="G40" t="s">
        <v>107</v>
      </c>
      <c r="H40">
        <f>YEAR(Table1[[#This Row],[Enrollment_Date]])</f>
        <v>2026</v>
      </c>
      <c r="I40">
        <f>MONTH(Table1[[#This Row],[Enrollment_Date]])</f>
        <v>2</v>
      </c>
      <c r="J40" s="34">
        <f t="shared" si="0"/>
        <v>46072</v>
      </c>
    </row>
    <row r="41" spans="1:10">
      <c r="A41" t="s">
        <v>376</v>
      </c>
      <c r="B41" t="s">
        <v>90</v>
      </c>
      <c r="C41" t="s">
        <v>91</v>
      </c>
      <c r="D41" s="33">
        <v>46073</v>
      </c>
      <c r="E41" t="s">
        <v>92</v>
      </c>
      <c r="F41" s="5">
        <v>1071.49</v>
      </c>
      <c r="G41" t="s">
        <v>93</v>
      </c>
      <c r="H41">
        <f>YEAR(Table1[[#This Row],[Enrollment_Date]])</f>
        <v>2026</v>
      </c>
      <c r="I41">
        <f>MONTH(Table1[[#This Row],[Enrollment_Date]])</f>
        <v>2</v>
      </c>
      <c r="J41" s="34">
        <f t="shared" si="0"/>
        <v>46073</v>
      </c>
    </row>
    <row r="42" spans="1:10" hidden="1">
      <c r="A42" t="s">
        <v>185</v>
      </c>
      <c r="B42" t="s">
        <v>100</v>
      </c>
      <c r="C42" t="s">
        <v>97</v>
      </c>
      <c r="D42" s="4" t="s">
        <v>457</v>
      </c>
      <c r="E42" t="s">
        <v>116</v>
      </c>
      <c r="F42" s="5">
        <v>838.79</v>
      </c>
      <c r="G42" t="s">
        <v>107</v>
      </c>
      <c r="H42" t="e">
        <f>YEAR(Table1[[#This Row],[Enrollment_Date]])</f>
        <v>#VALUE!</v>
      </c>
      <c r="I42" t="e">
        <f>MONTH(Table1[[#This Row],[Enrollment_Date]])</f>
        <v>#VALUE!</v>
      </c>
      <c r="J42" s="34" t="str">
        <f t="shared" si="0"/>
        <v/>
      </c>
    </row>
    <row r="43" spans="1:10">
      <c r="A43" t="s">
        <v>125</v>
      </c>
      <c r="B43" t="s">
        <v>455</v>
      </c>
      <c r="C43" t="s">
        <v>95</v>
      </c>
      <c r="D43" s="33">
        <v>46213</v>
      </c>
      <c r="E43" t="s">
        <v>102</v>
      </c>
      <c r="F43" s="5">
        <v>960.91</v>
      </c>
      <c r="G43" t="s">
        <v>107</v>
      </c>
      <c r="H43">
        <f>YEAR(Table1[[#This Row],[Enrollment_Date]])</f>
        <v>2026</v>
      </c>
      <c r="I43">
        <f>MONTH(Table1[[#This Row],[Enrollment_Date]])</f>
        <v>7</v>
      </c>
      <c r="J43" s="34">
        <f t="shared" si="0"/>
        <v>46213</v>
      </c>
    </row>
    <row r="44" spans="1:10">
      <c r="A44" t="s">
        <v>254</v>
      </c>
      <c r="B44" t="s">
        <v>100</v>
      </c>
      <c r="C44" t="s">
        <v>101</v>
      </c>
      <c r="D44" s="33">
        <v>46214</v>
      </c>
      <c r="E44" t="s">
        <v>116</v>
      </c>
      <c r="F44" s="5">
        <v>1354.04</v>
      </c>
      <c r="G44" t="s">
        <v>148</v>
      </c>
      <c r="H44">
        <f>YEAR(Table1[[#This Row],[Enrollment_Date]])</f>
        <v>2026</v>
      </c>
      <c r="I44">
        <f>MONTH(Table1[[#This Row],[Enrollment_Date]])</f>
        <v>7</v>
      </c>
      <c r="J44" s="34">
        <f t="shared" si="0"/>
        <v>46214</v>
      </c>
    </row>
    <row r="45" spans="1:10">
      <c r="A45" t="s">
        <v>252</v>
      </c>
      <c r="B45" t="s">
        <v>100</v>
      </c>
      <c r="C45" t="s">
        <v>97</v>
      </c>
      <c r="D45" s="33">
        <v>46215</v>
      </c>
      <c r="E45" t="s">
        <v>92</v>
      </c>
      <c r="F45" s="5">
        <v>789.47</v>
      </c>
      <c r="G45" t="s">
        <v>148</v>
      </c>
      <c r="H45">
        <f>YEAR(Table1[[#This Row],[Enrollment_Date]])</f>
        <v>2026</v>
      </c>
      <c r="I45">
        <f>MONTH(Table1[[#This Row],[Enrollment_Date]])</f>
        <v>7</v>
      </c>
      <c r="J45" s="34">
        <f t="shared" si="0"/>
        <v>46215</v>
      </c>
    </row>
    <row r="46" spans="1:10">
      <c r="A46" t="s">
        <v>286</v>
      </c>
      <c r="B46" t="s">
        <v>90</v>
      </c>
      <c r="C46" t="s">
        <v>101</v>
      </c>
      <c r="D46" s="33">
        <v>46216</v>
      </c>
      <c r="E46" t="s">
        <v>102</v>
      </c>
      <c r="F46" s="5">
        <v>1208.6400000000001</v>
      </c>
      <c r="G46" t="s">
        <v>461</v>
      </c>
      <c r="H46">
        <f>YEAR(Table1[[#This Row],[Enrollment_Date]])</f>
        <v>2026</v>
      </c>
      <c r="I46">
        <f>MONTH(Table1[[#This Row],[Enrollment_Date]])</f>
        <v>7</v>
      </c>
      <c r="J46" s="34">
        <f t="shared" si="0"/>
        <v>46216</v>
      </c>
    </row>
    <row r="47" spans="1:10">
      <c r="A47" t="s">
        <v>373</v>
      </c>
      <c r="B47" t="s">
        <v>90</v>
      </c>
      <c r="C47" t="s">
        <v>97</v>
      </c>
      <c r="D47" s="33">
        <v>46217</v>
      </c>
      <c r="E47" t="s">
        <v>92</v>
      </c>
      <c r="F47" s="5">
        <v>792.99</v>
      </c>
      <c r="G47" t="s">
        <v>107</v>
      </c>
      <c r="H47">
        <f>YEAR(Table1[[#This Row],[Enrollment_Date]])</f>
        <v>2026</v>
      </c>
      <c r="I47">
        <f>MONTH(Table1[[#This Row],[Enrollment_Date]])</f>
        <v>7</v>
      </c>
      <c r="J47" s="34">
        <f t="shared" si="0"/>
        <v>46217</v>
      </c>
    </row>
    <row r="48" spans="1:10">
      <c r="A48" t="s">
        <v>248</v>
      </c>
      <c r="B48" t="s">
        <v>90</v>
      </c>
      <c r="C48" t="s">
        <v>115</v>
      </c>
      <c r="D48" s="33">
        <v>46218</v>
      </c>
      <c r="E48" t="s">
        <v>102</v>
      </c>
      <c r="F48" s="5">
        <v>1084.1500000000001</v>
      </c>
      <c r="G48" t="s">
        <v>93</v>
      </c>
      <c r="H48">
        <f>YEAR(Table1[[#This Row],[Enrollment_Date]])</f>
        <v>2026</v>
      </c>
      <c r="I48">
        <f>MONTH(Table1[[#This Row],[Enrollment_Date]])</f>
        <v>7</v>
      </c>
      <c r="J48" s="34">
        <f t="shared" si="0"/>
        <v>46218</v>
      </c>
    </row>
    <row r="49" spans="1:10">
      <c r="A49" t="s">
        <v>249</v>
      </c>
      <c r="B49" t="s">
        <v>90</v>
      </c>
      <c r="C49" t="s">
        <v>101</v>
      </c>
      <c r="D49" s="33">
        <v>46219</v>
      </c>
      <c r="E49" t="s">
        <v>92</v>
      </c>
      <c r="F49" s="5">
        <v>1305.94</v>
      </c>
      <c r="G49" t="s">
        <v>93</v>
      </c>
      <c r="H49">
        <f>YEAR(Table1[[#This Row],[Enrollment_Date]])</f>
        <v>2026</v>
      </c>
      <c r="I49">
        <f>MONTH(Table1[[#This Row],[Enrollment_Date]])</f>
        <v>7</v>
      </c>
      <c r="J49" s="34">
        <f t="shared" si="0"/>
        <v>46219</v>
      </c>
    </row>
    <row r="50" spans="1:10">
      <c r="A50" t="s">
        <v>308</v>
      </c>
      <c r="B50" t="s">
        <v>90</v>
      </c>
      <c r="C50" t="s">
        <v>95</v>
      </c>
      <c r="D50" s="33">
        <v>46220</v>
      </c>
      <c r="E50" t="s">
        <v>92</v>
      </c>
      <c r="F50" s="5">
        <v>0</v>
      </c>
      <c r="G50" t="s">
        <v>93</v>
      </c>
      <c r="H50">
        <f>YEAR(Table1[[#This Row],[Enrollment_Date]])</f>
        <v>2026</v>
      </c>
      <c r="I50">
        <f>MONTH(Table1[[#This Row],[Enrollment_Date]])</f>
        <v>7</v>
      </c>
      <c r="J50" s="34">
        <f t="shared" si="0"/>
        <v>46220</v>
      </c>
    </row>
    <row r="51" spans="1:10" hidden="1">
      <c r="A51" t="s">
        <v>94</v>
      </c>
      <c r="B51" t="s">
        <v>100</v>
      </c>
      <c r="C51" t="s">
        <v>95</v>
      </c>
      <c r="D51" s="4" t="s">
        <v>457</v>
      </c>
      <c r="E51" t="s">
        <v>116</v>
      </c>
      <c r="F51" s="5">
        <v>1000.77</v>
      </c>
      <c r="G51" t="s">
        <v>107</v>
      </c>
      <c r="H51" t="e">
        <f>YEAR(Table1[[#This Row],[Enrollment_Date]])</f>
        <v>#VALUE!</v>
      </c>
      <c r="I51" t="e">
        <f>MONTH(Table1[[#This Row],[Enrollment_Date]])</f>
        <v>#VALUE!</v>
      </c>
      <c r="J51" s="34" t="str">
        <f t="shared" si="0"/>
        <v/>
      </c>
    </row>
    <row r="52" spans="1:10">
      <c r="A52" t="s">
        <v>197</v>
      </c>
      <c r="B52" t="s">
        <v>100</v>
      </c>
      <c r="C52" t="s">
        <v>91</v>
      </c>
      <c r="D52" s="33">
        <v>45983</v>
      </c>
      <c r="E52" t="s">
        <v>92</v>
      </c>
      <c r="F52" s="5">
        <v>928.88</v>
      </c>
      <c r="G52" t="s">
        <v>107</v>
      </c>
      <c r="H52">
        <f>YEAR(Table1[[#This Row],[Enrollment_Date]])</f>
        <v>2025</v>
      </c>
      <c r="I52">
        <f>MONTH(Table1[[#This Row],[Enrollment_Date]])</f>
        <v>11</v>
      </c>
      <c r="J52" s="34">
        <f t="shared" si="0"/>
        <v>45983</v>
      </c>
    </row>
    <row r="53" spans="1:10">
      <c r="A53" t="s">
        <v>191</v>
      </c>
      <c r="B53" t="s">
        <v>100</v>
      </c>
      <c r="C53" t="s">
        <v>91</v>
      </c>
      <c r="D53" s="33">
        <v>45984</v>
      </c>
      <c r="E53" t="s">
        <v>92</v>
      </c>
      <c r="F53" s="5">
        <v>928.88</v>
      </c>
      <c r="G53" t="s">
        <v>107</v>
      </c>
      <c r="H53">
        <f>YEAR(Table1[[#This Row],[Enrollment_Date]])</f>
        <v>2025</v>
      </c>
      <c r="I53">
        <f>MONTH(Table1[[#This Row],[Enrollment_Date]])</f>
        <v>11</v>
      </c>
      <c r="J53" s="34">
        <f t="shared" si="0"/>
        <v>45984</v>
      </c>
    </row>
    <row r="54" spans="1:10">
      <c r="A54" t="s">
        <v>362</v>
      </c>
      <c r="B54" t="s">
        <v>90</v>
      </c>
      <c r="C54" t="s">
        <v>115</v>
      </c>
      <c r="D54" s="33">
        <v>45985</v>
      </c>
      <c r="E54" t="s">
        <v>92</v>
      </c>
      <c r="F54" s="5">
        <v>0</v>
      </c>
      <c r="G54" t="s">
        <v>93</v>
      </c>
      <c r="H54">
        <f>YEAR(Table1[[#This Row],[Enrollment_Date]])</f>
        <v>2025</v>
      </c>
      <c r="I54">
        <f>MONTH(Table1[[#This Row],[Enrollment_Date]])</f>
        <v>11</v>
      </c>
      <c r="J54" s="34">
        <f t="shared" si="0"/>
        <v>45985</v>
      </c>
    </row>
    <row r="55" spans="1:10">
      <c r="A55" t="s">
        <v>190</v>
      </c>
      <c r="B55" t="s">
        <v>100</v>
      </c>
      <c r="C55" t="s">
        <v>101</v>
      </c>
      <c r="D55" s="33">
        <v>45986</v>
      </c>
      <c r="E55" t="s">
        <v>92</v>
      </c>
      <c r="F55" s="5">
        <v>1142.5999999999999</v>
      </c>
      <c r="G55" t="s">
        <v>107</v>
      </c>
      <c r="H55">
        <f>YEAR(Table1[[#This Row],[Enrollment_Date]])</f>
        <v>2025</v>
      </c>
      <c r="I55">
        <f>MONTH(Table1[[#This Row],[Enrollment_Date]])</f>
        <v>11</v>
      </c>
      <c r="J55" s="34">
        <f t="shared" si="0"/>
        <v>45986</v>
      </c>
    </row>
    <row r="56" spans="1:10">
      <c r="A56" t="s">
        <v>410</v>
      </c>
      <c r="B56" t="s">
        <v>100</v>
      </c>
      <c r="C56" t="s">
        <v>91</v>
      </c>
      <c r="D56" s="33">
        <v>45987</v>
      </c>
      <c r="E56" t="s">
        <v>92</v>
      </c>
      <c r="F56" s="5">
        <v>1042.6600000000001</v>
      </c>
      <c r="G56" t="s">
        <v>93</v>
      </c>
      <c r="H56">
        <f>YEAR(Table1[[#This Row],[Enrollment_Date]])</f>
        <v>2025</v>
      </c>
      <c r="I56">
        <f>MONTH(Table1[[#This Row],[Enrollment_Date]])</f>
        <v>11</v>
      </c>
      <c r="J56" s="34">
        <f t="shared" si="0"/>
        <v>45987</v>
      </c>
    </row>
    <row r="57" spans="1:10">
      <c r="A57" t="s">
        <v>301</v>
      </c>
      <c r="B57" t="s">
        <v>100</v>
      </c>
      <c r="C57" t="s">
        <v>115</v>
      </c>
      <c r="D57" s="33">
        <v>45988</v>
      </c>
      <c r="E57" t="s">
        <v>92</v>
      </c>
      <c r="F57" s="5">
        <v>1252.22</v>
      </c>
      <c r="G57" t="s">
        <v>148</v>
      </c>
      <c r="H57">
        <f>YEAR(Table1[[#This Row],[Enrollment_Date]])</f>
        <v>2025</v>
      </c>
      <c r="I57">
        <f>MONTH(Table1[[#This Row],[Enrollment_Date]])</f>
        <v>11</v>
      </c>
      <c r="J57" s="34">
        <f t="shared" si="0"/>
        <v>45988</v>
      </c>
    </row>
    <row r="58" spans="1:10" hidden="1">
      <c r="A58" t="s">
        <v>147</v>
      </c>
      <c r="B58" t="s">
        <v>100</v>
      </c>
      <c r="C58" t="s">
        <v>101</v>
      </c>
      <c r="D58" s="4" t="s">
        <v>457</v>
      </c>
      <c r="E58" t="s">
        <v>92</v>
      </c>
      <c r="F58" s="5">
        <v>1116.57</v>
      </c>
      <c r="G58" t="s">
        <v>107</v>
      </c>
      <c r="H58" t="e">
        <f>YEAR(Table1[[#This Row],[Enrollment_Date]])</f>
        <v>#VALUE!</v>
      </c>
      <c r="I58" t="e">
        <f>MONTH(Table1[[#This Row],[Enrollment_Date]])</f>
        <v>#VALUE!</v>
      </c>
      <c r="J58" s="34" t="str">
        <f t="shared" si="0"/>
        <v/>
      </c>
    </row>
    <row r="59" spans="1:10">
      <c r="A59" t="s">
        <v>340</v>
      </c>
      <c r="B59" t="s">
        <v>90</v>
      </c>
      <c r="C59" t="s">
        <v>101</v>
      </c>
      <c r="D59" s="33">
        <v>45817</v>
      </c>
      <c r="E59" t="s">
        <v>116</v>
      </c>
      <c r="F59" s="5">
        <v>1120</v>
      </c>
      <c r="G59" t="s">
        <v>107</v>
      </c>
      <c r="H59">
        <f>YEAR(Table1[[#This Row],[Enrollment_Date]])</f>
        <v>2025</v>
      </c>
      <c r="I59">
        <f>MONTH(Table1[[#This Row],[Enrollment_Date]])</f>
        <v>6</v>
      </c>
      <c r="J59" s="34">
        <f t="shared" si="0"/>
        <v>45817</v>
      </c>
    </row>
    <row r="60" spans="1:10">
      <c r="A60" t="s">
        <v>167</v>
      </c>
      <c r="B60" t="s">
        <v>100</v>
      </c>
      <c r="C60" t="s">
        <v>115</v>
      </c>
      <c r="D60" s="33">
        <v>45818</v>
      </c>
      <c r="E60" t="s">
        <v>92</v>
      </c>
      <c r="F60" s="5">
        <v>1187.6099999999999</v>
      </c>
      <c r="G60" t="s">
        <v>107</v>
      </c>
      <c r="H60">
        <f>YEAR(Table1[[#This Row],[Enrollment_Date]])</f>
        <v>2025</v>
      </c>
      <c r="I60">
        <f>MONTH(Table1[[#This Row],[Enrollment_Date]])</f>
        <v>6</v>
      </c>
      <c r="J60" s="34">
        <f t="shared" si="0"/>
        <v>45818</v>
      </c>
    </row>
    <row r="61" spans="1:10">
      <c r="A61" t="s">
        <v>124</v>
      </c>
      <c r="B61" t="s">
        <v>90</v>
      </c>
      <c r="C61" t="s">
        <v>110</v>
      </c>
      <c r="D61" s="33">
        <v>45819</v>
      </c>
      <c r="E61" t="s">
        <v>116</v>
      </c>
      <c r="F61" s="5">
        <v>874.8</v>
      </c>
      <c r="G61" t="s">
        <v>107</v>
      </c>
      <c r="H61">
        <f>YEAR(Table1[[#This Row],[Enrollment_Date]])</f>
        <v>2025</v>
      </c>
      <c r="I61">
        <f>MONTH(Table1[[#This Row],[Enrollment_Date]])</f>
        <v>6</v>
      </c>
      <c r="J61" s="34">
        <f t="shared" si="0"/>
        <v>45819</v>
      </c>
    </row>
    <row r="62" spans="1:10">
      <c r="A62" t="s">
        <v>304</v>
      </c>
      <c r="B62" t="s">
        <v>90</v>
      </c>
      <c r="C62" t="s">
        <v>110</v>
      </c>
      <c r="D62" s="33">
        <v>45820</v>
      </c>
      <c r="E62" t="s">
        <v>116</v>
      </c>
      <c r="F62" s="5">
        <v>874.8</v>
      </c>
      <c r="G62" t="s">
        <v>107</v>
      </c>
      <c r="H62">
        <f>YEAR(Table1[[#This Row],[Enrollment_Date]])</f>
        <v>2025</v>
      </c>
      <c r="I62">
        <f>MONTH(Table1[[#This Row],[Enrollment_Date]])</f>
        <v>6</v>
      </c>
      <c r="J62" s="34">
        <f t="shared" si="0"/>
        <v>45820</v>
      </c>
    </row>
    <row r="63" spans="1:10">
      <c r="A63" t="s">
        <v>262</v>
      </c>
      <c r="B63" t="s">
        <v>90</v>
      </c>
      <c r="C63" t="s">
        <v>95</v>
      </c>
      <c r="D63" s="33">
        <v>45821</v>
      </c>
      <c r="E63" t="s">
        <v>92</v>
      </c>
      <c r="F63" s="5">
        <v>816.32</v>
      </c>
      <c r="G63" t="s">
        <v>93</v>
      </c>
      <c r="H63">
        <f>YEAR(Table1[[#This Row],[Enrollment_Date]])</f>
        <v>2025</v>
      </c>
      <c r="I63">
        <f>MONTH(Table1[[#This Row],[Enrollment_Date]])</f>
        <v>6</v>
      </c>
      <c r="J63" s="34">
        <f t="shared" si="0"/>
        <v>45821</v>
      </c>
    </row>
    <row r="64" spans="1:10">
      <c r="A64" t="s">
        <v>194</v>
      </c>
      <c r="B64" t="s">
        <v>90</v>
      </c>
      <c r="C64" t="s">
        <v>95</v>
      </c>
      <c r="D64" s="33">
        <v>45822</v>
      </c>
      <c r="E64" t="s">
        <v>92</v>
      </c>
      <c r="F64" s="5">
        <v>944.77</v>
      </c>
      <c r="G64" t="s">
        <v>93</v>
      </c>
      <c r="H64">
        <f>YEAR(Table1[[#This Row],[Enrollment_Date]])</f>
        <v>2025</v>
      </c>
      <c r="I64">
        <f>MONTH(Table1[[#This Row],[Enrollment_Date]])</f>
        <v>6</v>
      </c>
      <c r="J64" s="34">
        <f t="shared" si="0"/>
        <v>45822</v>
      </c>
    </row>
    <row r="65" spans="1:10">
      <c r="A65" t="s">
        <v>411</v>
      </c>
      <c r="B65" t="s">
        <v>100</v>
      </c>
      <c r="C65" t="s">
        <v>101</v>
      </c>
      <c r="D65" s="33">
        <v>45823</v>
      </c>
      <c r="E65" t="s">
        <v>458</v>
      </c>
      <c r="F65" s="5">
        <v>1155.73</v>
      </c>
      <c r="G65" t="s">
        <v>107</v>
      </c>
      <c r="H65">
        <f>YEAR(Table1[[#This Row],[Enrollment_Date]])</f>
        <v>2025</v>
      </c>
      <c r="I65">
        <f>MONTH(Table1[[#This Row],[Enrollment_Date]])</f>
        <v>6</v>
      </c>
      <c r="J65" s="34">
        <f t="shared" si="0"/>
        <v>45823</v>
      </c>
    </row>
    <row r="66" spans="1:10">
      <c r="A66" t="s">
        <v>164</v>
      </c>
      <c r="B66" t="s">
        <v>90</v>
      </c>
      <c r="C66" t="s">
        <v>91</v>
      </c>
      <c r="D66" s="33">
        <v>45824</v>
      </c>
      <c r="E66" t="s">
        <v>102</v>
      </c>
      <c r="F66" s="5">
        <v>1014.93</v>
      </c>
      <c r="G66" t="s">
        <v>93</v>
      </c>
      <c r="H66">
        <f>YEAR(Table1[[#This Row],[Enrollment_Date]])</f>
        <v>2025</v>
      </c>
      <c r="I66">
        <f>MONTH(Table1[[#This Row],[Enrollment_Date]])</f>
        <v>6</v>
      </c>
      <c r="J66" s="34">
        <f t="shared" si="0"/>
        <v>45824</v>
      </c>
    </row>
    <row r="67" spans="1:10">
      <c r="A67" t="s">
        <v>375</v>
      </c>
      <c r="B67" t="s">
        <v>90</v>
      </c>
      <c r="C67" t="s">
        <v>115</v>
      </c>
      <c r="D67" s="33">
        <v>45825</v>
      </c>
      <c r="E67" t="s">
        <v>92</v>
      </c>
      <c r="F67" s="5">
        <v>1186.5</v>
      </c>
      <c r="G67" t="s">
        <v>148</v>
      </c>
      <c r="H67">
        <f>YEAR(Table1[[#This Row],[Enrollment_Date]])</f>
        <v>2025</v>
      </c>
      <c r="I67">
        <f>MONTH(Table1[[#This Row],[Enrollment_Date]])</f>
        <v>6</v>
      </c>
      <c r="J67" s="34">
        <f t="shared" ref="J67:J130" si="1">IF(ISNUMBER(D67),D67,"")</f>
        <v>45825</v>
      </c>
    </row>
    <row r="68" spans="1:10">
      <c r="A68" t="s">
        <v>229</v>
      </c>
      <c r="B68" t="s">
        <v>100</v>
      </c>
      <c r="C68" t="s">
        <v>97</v>
      </c>
      <c r="D68" s="33">
        <v>45826</v>
      </c>
      <c r="E68" t="s">
        <v>92</v>
      </c>
      <c r="F68" s="5">
        <v>887.69</v>
      </c>
      <c r="G68" t="s">
        <v>104</v>
      </c>
      <c r="H68">
        <f>YEAR(Table1[[#This Row],[Enrollment_Date]])</f>
        <v>2025</v>
      </c>
      <c r="I68">
        <f>MONTH(Table1[[#This Row],[Enrollment_Date]])</f>
        <v>6</v>
      </c>
      <c r="J68" s="34">
        <f t="shared" si="1"/>
        <v>45826</v>
      </c>
    </row>
    <row r="69" spans="1:10">
      <c r="A69" t="s">
        <v>149</v>
      </c>
      <c r="B69" t="s">
        <v>90</v>
      </c>
      <c r="C69" t="s">
        <v>101</v>
      </c>
      <c r="D69" s="33">
        <v>45827</v>
      </c>
      <c r="E69" t="s">
        <v>92</v>
      </c>
      <c r="F69" s="5">
        <v>1164.8599999999999</v>
      </c>
      <c r="G69" t="s">
        <v>104</v>
      </c>
      <c r="H69">
        <f>YEAR(Table1[[#This Row],[Enrollment_Date]])</f>
        <v>2025</v>
      </c>
      <c r="I69">
        <f>MONTH(Table1[[#This Row],[Enrollment_Date]])</f>
        <v>6</v>
      </c>
      <c r="J69" s="34">
        <f t="shared" si="1"/>
        <v>45827</v>
      </c>
    </row>
    <row r="70" spans="1:10">
      <c r="A70" t="s">
        <v>347</v>
      </c>
      <c r="B70" t="s">
        <v>455</v>
      </c>
      <c r="C70" t="s">
        <v>97</v>
      </c>
      <c r="D70" s="33">
        <v>45828</v>
      </c>
      <c r="E70" t="s">
        <v>116</v>
      </c>
      <c r="F70" s="5">
        <v>865.04</v>
      </c>
      <c r="G70" t="s">
        <v>107</v>
      </c>
      <c r="H70">
        <f>YEAR(Table1[[#This Row],[Enrollment_Date]])</f>
        <v>2025</v>
      </c>
      <c r="I70">
        <f>MONTH(Table1[[#This Row],[Enrollment_Date]])</f>
        <v>6</v>
      </c>
      <c r="J70" s="34">
        <f t="shared" si="1"/>
        <v>45828</v>
      </c>
    </row>
    <row r="71" spans="1:10">
      <c r="A71" t="s">
        <v>264</v>
      </c>
      <c r="B71" t="s">
        <v>90</v>
      </c>
      <c r="C71" t="s">
        <v>110</v>
      </c>
      <c r="D71" s="33">
        <v>45829</v>
      </c>
      <c r="E71" t="s">
        <v>92</v>
      </c>
      <c r="F71" s="5">
        <v>794.13</v>
      </c>
      <c r="G71" t="s">
        <v>107</v>
      </c>
      <c r="H71">
        <f>YEAR(Table1[[#This Row],[Enrollment_Date]])</f>
        <v>2025</v>
      </c>
      <c r="I71">
        <f>MONTH(Table1[[#This Row],[Enrollment_Date]])</f>
        <v>6</v>
      </c>
      <c r="J71" s="34">
        <f t="shared" si="1"/>
        <v>45829</v>
      </c>
    </row>
    <row r="72" spans="1:10">
      <c r="A72" t="s">
        <v>231</v>
      </c>
      <c r="B72" t="s">
        <v>90</v>
      </c>
      <c r="C72" t="s">
        <v>110</v>
      </c>
      <c r="D72" s="33">
        <v>45830</v>
      </c>
      <c r="E72" t="s">
        <v>92</v>
      </c>
      <c r="F72" s="5">
        <v>794.13</v>
      </c>
      <c r="G72" t="s">
        <v>107</v>
      </c>
      <c r="H72">
        <f>YEAR(Table1[[#This Row],[Enrollment_Date]])</f>
        <v>2025</v>
      </c>
      <c r="I72">
        <f>MONTH(Table1[[#This Row],[Enrollment_Date]])</f>
        <v>6</v>
      </c>
      <c r="J72" s="34">
        <f t="shared" si="1"/>
        <v>45830</v>
      </c>
    </row>
    <row r="73" spans="1:10">
      <c r="A73" t="s">
        <v>219</v>
      </c>
      <c r="B73" t="s">
        <v>90</v>
      </c>
      <c r="C73" t="s">
        <v>101</v>
      </c>
      <c r="D73" s="33">
        <v>45831</v>
      </c>
      <c r="E73" t="s">
        <v>102</v>
      </c>
      <c r="F73" s="5">
        <v>0</v>
      </c>
      <c r="G73" t="s">
        <v>107</v>
      </c>
      <c r="H73">
        <f>YEAR(Table1[[#This Row],[Enrollment_Date]])</f>
        <v>2025</v>
      </c>
      <c r="I73">
        <f>MONTH(Table1[[#This Row],[Enrollment_Date]])</f>
        <v>6</v>
      </c>
      <c r="J73" s="34">
        <f t="shared" si="1"/>
        <v>45831</v>
      </c>
    </row>
    <row r="74" spans="1:10">
      <c r="A74" t="s">
        <v>279</v>
      </c>
      <c r="B74" t="s">
        <v>100</v>
      </c>
      <c r="C74" t="s">
        <v>115</v>
      </c>
      <c r="D74" s="33">
        <v>45832</v>
      </c>
      <c r="E74" t="s">
        <v>92</v>
      </c>
      <c r="F74" s="5">
        <v>1046.94</v>
      </c>
      <c r="G74" t="s">
        <v>93</v>
      </c>
      <c r="H74">
        <f>YEAR(Table1[[#This Row],[Enrollment_Date]])</f>
        <v>2025</v>
      </c>
      <c r="I74">
        <f>MONTH(Table1[[#This Row],[Enrollment_Date]])</f>
        <v>6</v>
      </c>
      <c r="J74" s="34">
        <f t="shared" si="1"/>
        <v>45832</v>
      </c>
    </row>
    <row r="75" spans="1:10">
      <c r="A75" t="s">
        <v>243</v>
      </c>
      <c r="B75" t="s">
        <v>100</v>
      </c>
      <c r="C75" t="s">
        <v>115</v>
      </c>
      <c r="D75" s="33">
        <v>45833</v>
      </c>
      <c r="E75" t="s">
        <v>116</v>
      </c>
      <c r="F75" s="5">
        <v>1111.25</v>
      </c>
      <c r="G75" t="s">
        <v>93</v>
      </c>
      <c r="H75">
        <f>YEAR(Table1[[#This Row],[Enrollment_Date]])</f>
        <v>2025</v>
      </c>
      <c r="I75">
        <f>MONTH(Table1[[#This Row],[Enrollment_Date]])</f>
        <v>6</v>
      </c>
      <c r="J75" s="34">
        <f t="shared" si="1"/>
        <v>45833</v>
      </c>
    </row>
    <row r="76" spans="1:10">
      <c r="A76" t="s">
        <v>156</v>
      </c>
      <c r="B76" t="s">
        <v>157</v>
      </c>
      <c r="C76" t="s">
        <v>456</v>
      </c>
      <c r="D76" s="33">
        <v>45834</v>
      </c>
      <c r="E76" t="s">
        <v>116</v>
      </c>
      <c r="F76" s="5">
        <v>833.87</v>
      </c>
      <c r="G76" t="s">
        <v>107</v>
      </c>
      <c r="H76">
        <f>YEAR(Table1[[#This Row],[Enrollment_Date]])</f>
        <v>2025</v>
      </c>
      <c r="I76">
        <f>MONTH(Table1[[#This Row],[Enrollment_Date]])</f>
        <v>6</v>
      </c>
      <c r="J76" s="34">
        <f t="shared" si="1"/>
        <v>45834</v>
      </c>
    </row>
    <row r="77" spans="1:10">
      <c r="A77" t="s">
        <v>356</v>
      </c>
      <c r="B77" t="s">
        <v>90</v>
      </c>
      <c r="C77" t="s">
        <v>115</v>
      </c>
      <c r="D77" s="33">
        <v>45835</v>
      </c>
      <c r="E77" t="s">
        <v>102</v>
      </c>
      <c r="F77" s="5">
        <v>1244.6400000000001</v>
      </c>
      <c r="G77" t="s">
        <v>93</v>
      </c>
      <c r="H77">
        <f>YEAR(Table1[[#This Row],[Enrollment_Date]])</f>
        <v>2025</v>
      </c>
      <c r="I77">
        <f>MONTH(Table1[[#This Row],[Enrollment_Date]])</f>
        <v>6</v>
      </c>
      <c r="J77" s="34">
        <f t="shared" si="1"/>
        <v>45835</v>
      </c>
    </row>
    <row r="78" spans="1:10">
      <c r="A78" t="s">
        <v>247</v>
      </c>
      <c r="B78" t="s">
        <v>90</v>
      </c>
      <c r="C78" t="s">
        <v>91</v>
      </c>
      <c r="D78" s="33">
        <v>45836</v>
      </c>
      <c r="E78" t="s">
        <v>92</v>
      </c>
      <c r="F78" s="5">
        <v>1080.26</v>
      </c>
      <c r="G78" t="s">
        <v>107</v>
      </c>
      <c r="H78">
        <f>YEAR(Table1[[#This Row],[Enrollment_Date]])</f>
        <v>2025</v>
      </c>
      <c r="I78">
        <f>MONTH(Table1[[#This Row],[Enrollment_Date]])</f>
        <v>6</v>
      </c>
      <c r="J78" s="34">
        <f t="shared" si="1"/>
        <v>45836</v>
      </c>
    </row>
    <row r="79" spans="1:10">
      <c r="A79" t="s">
        <v>412</v>
      </c>
      <c r="B79" t="s">
        <v>100</v>
      </c>
      <c r="C79" t="s">
        <v>110</v>
      </c>
      <c r="D79" s="33">
        <v>45837</v>
      </c>
      <c r="E79" t="s">
        <v>92</v>
      </c>
      <c r="F79" s="5">
        <v>866.01</v>
      </c>
      <c r="G79" t="s">
        <v>107</v>
      </c>
      <c r="H79">
        <f>YEAR(Table1[[#This Row],[Enrollment_Date]])</f>
        <v>2025</v>
      </c>
      <c r="I79">
        <f>MONTH(Table1[[#This Row],[Enrollment_Date]])</f>
        <v>6</v>
      </c>
      <c r="J79" s="34">
        <f t="shared" si="1"/>
        <v>45837</v>
      </c>
    </row>
    <row r="80" spans="1:10">
      <c r="A80" t="s">
        <v>171</v>
      </c>
      <c r="B80" t="s">
        <v>90</v>
      </c>
      <c r="C80" t="s">
        <v>91</v>
      </c>
      <c r="D80" s="33">
        <v>45838</v>
      </c>
      <c r="E80" t="s">
        <v>116</v>
      </c>
      <c r="F80" s="5">
        <v>1083.3599999999999</v>
      </c>
      <c r="G80" t="s">
        <v>107</v>
      </c>
      <c r="H80">
        <f>YEAR(Table1[[#This Row],[Enrollment_Date]])</f>
        <v>2025</v>
      </c>
      <c r="I80">
        <f>MONTH(Table1[[#This Row],[Enrollment_Date]])</f>
        <v>6</v>
      </c>
      <c r="J80" s="34">
        <f t="shared" si="1"/>
        <v>45838</v>
      </c>
    </row>
    <row r="81" spans="1:10">
      <c r="A81" t="s">
        <v>150</v>
      </c>
      <c r="B81" t="s">
        <v>100</v>
      </c>
      <c r="C81" t="s">
        <v>91</v>
      </c>
      <c r="D81" s="33">
        <v>45839</v>
      </c>
      <c r="E81" t="s">
        <v>116</v>
      </c>
      <c r="F81" s="5">
        <v>1083.1500000000001</v>
      </c>
      <c r="G81" t="s">
        <v>107</v>
      </c>
      <c r="H81">
        <f>YEAR(Table1[[#This Row],[Enrollment_Date]])</f>
        <v>2025</v>
      </c>
      <c r="I81">
        <f>MONTH(Table1[[#This Row],[Enrollment_Date]])</f>
        <v>7</v>
      </c>
      <c r="J81" s="34">
        <f t="shared" si="1"/>
        <v>45839</v>
      </c>
    </row>
    <row r="82" spans="1:10">
      <c r="A82" t="s">
        <v>284</v>
      </c>
      <c r="B82" t="s">
        <v>100</v>
      </c>
      <c r="C82" t="s">
        <v>115</v>
      </c>
      <c r="D82" s="33">
        <v>45840</v>
      </c>
      <c r="E82" t="s">
        <v>92</v>
      </c>
      <c r="F82" s="5">
        <v>1259.54</v>
      </c>
      <c r="G82" t="s">
        <v>148</v>
      </c>
      <c r="H82">
        <f>YEAR(Table1[[#This Row],[Enrollment_Date]])</f>
        <v>2025</v>
      </c>
      <c r="I82">
        <f>MONTH(Table1[[#This Row],[Enrollment_Date]])</f>
        <v>7</v>
      </c>
      <c r="J82" s="34">
        <f t="shared" si="1"/>
        <v>45840</v>
      </c>
    </row>
    <row r="83" spans="1:10">
      <c r="A83" t="s">
        <v>345</v>
      </c>
      <c r="B83" t="s">
        <v>90</v>
      </c>
      <c r="C83" t="s">
        <v>101</v>
      </c>
      <c r="D83" s="33">
        <v>45841</v>
      </c>
      <c r="E83" t="s">
        <v>92</v>
      </c>
      <c r="F83" s="5">
        <v>1145.76</v>
      </c>
      <c r="G83" t="s">
        <v>107</v>
      </c>
      <c r="H83">
        <f>YEAR(Table1[[#This Row],[Enrollment_Date]])</f>
        <v>2025</v>
      </c>
      <c r="I83">
        <f>MONTH(Table1[[#This Row],[Enrollment_Date]])</f>
        <v>7</v>
      </c>
      <c r="J83" s="34">
        <f t="shared" si="1"/>
        <v>45841</v>
      </c>
    </row>
    <row r="84" spans="1:10">
      <c r="A84" t="s">
        <v>276</v>
      </c>
      <c r="B84" t="s">
        <v>100</v>
      </c>
      <c r="C84" t="s">
        <v>110</v>
      </c>
      <c r="D84" s="33">
        <v>45842</v>
      </c>
      <c r="E84" t="s">
        <v>92</v>
      </c>
      <c r="F84" s="5">
        <v>804.04</v>
      </c>
      <c r="G84" t="s">
        <v>107</v>
      </c>
      <c r="H84">
        <f>YEAR(Table1[[#This Row],[Enrollment_Date]])</f>
        <v>2025</v>
      </c>
      <c r="I84">
        <f>MONTH(Table1[[#This Row],[Enrollment_Date]])</f>
        <v>7</v>
      </c>
      <c r="J84" s="34">
        <f t="shared" si="1"/>
        <v>45842</v>
      </c>
    </row>
    <row r="85" spans="1:10">
      <c r="A85" t="s">
        <v>393</v>
      </c>
      <c r="B85" t="s">
        <v>100</v>
      </c>
      <c r="C85" t="s">
        <v>115</v>
      </c>
      <c r="D85" s="33">
        <v>45843</v>
      </c>
      <c r="E85" t="s">
        <v>458</v>
      </c>
      <c r="F85" s="5">
        <v>1146.3399999999999</v>
      </c>
      <c r="G85" t="s">
        <v>107</v>
      </c>
      <c r="H85">
        <f>YEAR(Table1[[#This Row],[Enrollment_Date]])</f>
        <v>2025</v>
      </c>
      <c r="I85">
        <f>MONTH(Table1[[#This Row],[Enrollment_Date]])</f>
        <v>7</v>
      </c>
      <c r="J85" s="34">
        <f t="shared" si="1"/>
        <v>45843</v>
      </c>
    </row>
    <row r="86" spans="1:10">
      <c r="A86" t="s">
        <v>312</v>
      </c>
      <c r="B86" t="s">
        <v>90</v>
      </c>
      <c r="C86" t="s">
        <v>115</v>
      </c>
      <c r="D86" s="33">
        <v>45844</v>
      </c>
      <c r="E86" t="s">
        <v>116</v>
      </c>
      <c r="F86" s="5">
        <v>1197.4000000000001</v>
      </c>
      <c r="G86" t="s">
        <v>107</v>
      </c>
      <c r="H86">
        <f>YEAR(Table1[[#This Row],[Enrollment_Date]])</f>
        <v>2025</v>
      </c>
      <c r="I86">
        <f>MONTH(Table1[[#This Row],[Enrollment_Date]])</f>
        <v>7</v>
      </c>
      <c r="J86" s="34">
        <f t="shared" si="1"/>
        <v>45844</v>
      </c>
    </row>
    <row r="87" spans="1:10">
      <c r="A87" t="s">
        <v>361</v>
      </c>
      <c r="B87" t="s">
        <v>90</v>
      </c>
      <c r="C87" t="s">
        <v>115</v>
      </c>
      <c r="D87" s="33">
        <v>45845</v>
      </c>
      <c r="E87" t="s">
        <v>116</v>
      </c>
      <c r="F87" s="5">
        <v>1098.3800000000001</v>
      </c>
      <c r="G87" t="s">
        <v>107</v>
      </c>
      <c r="H87">
        <f>YEAR(Table1[[#This Row],[Enrollment_Date]])</f>
        <v>2025</v>
      </c>
      <c r="I87">
        <f>MONTH(Table1[[#This Row],[Enrollment_Date]])</f>
        <v>7</v>
      </c>
      <c r="J87" s="34">
        <f t="shared" si="1"/>
        <v>45845</v>
      </c>
    </row>
    <row r="88" spans="1:10">
      <c r="A88" t="s">
        <v>146</v>
      </c>
      <c r="B88" t="s">
        <v>100</v>
      </c>
      <c r="C88" t="s">
        <v>97</v>
      </c>
      <c r="D88" s="33">
        <v>45846</v>
      </c>
      <c r="E88" t="s">
        <v>102</v>
      </c>
      <c r="F88" s="5">
        <v>720.2</v>
      </c>
      <c r="G88" t="s">
        <v>461</v>
      </c>
      <c r="H88">
        <f>YEAR(Table1[[#This Row],[Enrollment_Date]])</f>
        <v>2025</v>
      </c>
      <c r="I88">
        <f>MONTH(Table1[[#This Row],[Enrollment_Date]])</f>
        <v>7</v>
      </c>
      <c r="J88" s="34">
        <f t="shared" si="1"/>
        <v>45846</v>
      </c>
    </row>
    <row r="89" spans="1:10">
      <c r="A89" t="s">
        <v>351</v>
      </c>
      <c r="B89" t="s">
        <v>90</v>
      </c>
      <c r="C89" t="s">
        <v>101</v>
      </c>
      <c r="D89" s="33">
        <v>45847</v>
      </c>
      <c r="E89" t="s">
        <v>92</v>
      </c>
      <c r="F89" s="5">
        <v>1156.29</v>
      </c>
      <c r="G89" t="s">
        <v>148</v>
      </c>
      <c r="H89">
        <f>YEAR(Table1[[#This Row],[Enrollment_Date]])</f>
        <v>2025</v>
      </c>
      <c r="I89">
        <f>MONTH(Table1[[#This Row],[Enrollment_Date]])</f>
        <v>7</v>
      </c>
      <c r="J89" s="34">
        <f t="shared" si="1"/>
        <v>45847</v>
      </c>
    </row>
    <row r="90" spans="1:10">
      <c r="A90" t="s">
        <v>281</v>
      </c>
      <c r="B90" t="s">
        <v>100</v>
      </c>
      <c r="C90" t="s">
        <v>101</v>
      </c>
      <c r="D90" s="33">
        <v>45848</v>
      </c>
      <c r="E90" t="s">
        <v>92</v>
      </c>
      <c r="F90" s="5">
        <v>1138.77</v>
      </c>
      <c r="G90" t="s">
        <v>107</v>
      </c>
      <c r="H90">
        <f>YEAR(Table1[[#This Row],[Enrollment_Date]])</f>
        <v>2025</v>
      </c>
      <c r="I90">
        <f>MONTH(Table1[[#This Row],[Enrollment_Date]])</f>
        <v>7</v>
      </c>
      <c r="J90" s="34">
        <f t="shared" si="1"/>
        <v>45848</v>
      </c>
    </row>
    <row r="91" spans="1:10">
      <c r="A91" t="s">
        <v>306</v>
      </c>
      <c r="B91" t="s">
        <v>100</v>
      </c>
      <c r="C91" t="s">
        <v>101</v>
      </c>
      <c r="D91" s="33">
        <v>45849</v>
      </c>
      <c r="E91" t="s">
        <v>102</v>
      </c>
      <c r="F91" s="5">
        <v>1358.18</v>
      </c>
      <c r="G91" t="s">
        <v>461</v>
      </c>
      <c r="H91">
        <f>YEAR(Table1[[#This Row],[Enrollment_Date]])</f>
        <v>2025</v>
      </c>
      <c r="I91">
        <f>MONTH(Table1[[#This Row],[Enrollment_Date]])</f>
        <v>7</v>
      </c>
      <c r="J91" s="34">
        <f t="shared" si="1"/>
        <v>45849</v>
      </c>
    </row>
    <row r="92" spans="1:10">
      <c r="A92" t="s">
        <v>99</v>
      </c>
      <c r="B92" t="s">
        <v>90</v>
      </c>
      <c r="C92" t="s">
        <v>115</v>
      </c>
      <c r="D92" s="33">
        <v>45850</v>
      </c>
      <c r="E92" t="s">
        <v>92</v>
      </c>
      <c r="F92" s="5">
        <v>1103.72</v>
      </c>
      <c r="G92" t="s">
        <v>148</v>
      </c>
      <c r="H92">
        <f>YEAR(Table1[[#This Row],[Enrollment_Date]])</f>
        <v>2025</v>
      </c>
      <c r="I92">
        <f>MONTH(Table1[[#This Row],[Enrollment_Date]])</f>
        <v>7</v>
      </c>
      <c r="J92" s="34">
        <f t="shared" si="1"/>
        <v>45850</v>
      </c>
    </row>
    <row r="93" spans="1:10">
      <c r="A93" t="s">
        <v>330</v>
      </c>
      <c r="B93" t="s">
        <v>100</v>
      </c>
      <c r="C93" t="s">
        <v>95</v>
      </c>
      <c r="D93" s="33">
        <v>45851</v>
      </c>
      <c r="E93" t="s">
        <v>92</v>
      </c>
      <c r="F93" s="5">
        <v>968.97</v>
      </c>
      <c r="G93" t="s">
        <v>107</v>
      </c>
      <c r="H93">
        <f>YEAR(Table1[[#This Row],[Enrollment_Date]])</f>
        <v>2025</v>
      </c>
      <c r="I93">
        <f>MONTH(Table1[[#This Row],[Enrollment_Date]])</f>
        <v>7</v>
      </c>
      <c r="J93" s="34">
        <f t="shared" si="1"/>
        <v>45851</v>
      </c>
    </row>
    <row r="94" spans="1:10">
      <c r="A94" t="s">
        <v>106</v>
      </c>
      <c r="B94" t="s">
        <v>100</v>
      </c>
      <c r="C94" t="s">
        <v>101</v>
      </c>
      <c r="D94" s="33">
        <v>45852</v>
      </c>
      <c r="E94" t="s">
        <v>92</v>
      </c>
      <c r="F94" s="5">
        <v>1352.42</v>
      </c>
      <c r="G94" t="s">
        <v>148</v>
      </c>
      <c r="H94">
        <f>YEAR(Table1[[#This Row],[Enrollment_Date]])</f>
        <v>2025</v>
      </c>
      <c r="I94">
        <f>MONTH(Table1[[#This Row],[Enrollment_Date]])</f>
        <v>7</v>
      </c>
      <c r="J94" s="34">
        <f t="shared" si="1"/>
        <v>45852</v>
      </c>
    </row>
    <row r="95" spans="1:10">
      <c r="A95" t="s">
        <v>263</v>
      </c>
      <c r="B95" t="s">
        <v>90</v>
      </c>
      <c r="C95" t="s">
        <v>91</v>
      </c>
      <c r="D95" s="33">
        <v>45853</v>
      </c>
      <c r="E95" t="s">
        <v>102</v>
      </c>
      <c r="F95" s="5">
        <v>1014.23</v>
      </c>
      <c r="G95" t="s">
        <v>107</v>
      </c>
      <c r="H95">
        <f>YEAR(Table1[[#This Row],[Enrollment_Date]])</f>
        <v>2025</v>
      </c>
      <c r="I95">
        <f>MONTH(Table1[[#This Row],[Enrollment_Date]])</f>
        <v>7</v>
      </c>
      <c r="J95" s="34">
        <f t="shared" si="1"/>
        <v>45853</v>
      </c>
    </row>
    <row r="96" spans="1:10">
      <c r="A96" t="s">
        <v>128</v>
      </c>
      <c r="B96" t="s">
        <v>100</v>
      </c>
      <c r="C96" t="s">
        <v>91</v>
      </c>
      <c r="D96" s="33">
        <v>45854</v>
      </c>
      <c r="E96" t="s">
        <v>102</v>
      </c>
      <c r="F96" s="5">
        <v>997.33</v>
      </c>
      <c r="G96" t="s">
        <v>107</v>
      </c>
      <c r="H96">
        <f>YEAR(Table1[[#This Row],[Enrollment_Date]])</f>
        <v>2025</v>
      </c>
      <c r="I96">
        <f>MONTH(Table1[[#This Row],[Enrollment_Date]])</f>
        <v>7</v>
      </c>
      <c r="J96" s="34">
        <f t="shared" si="1"/>
        <v>45854</v>
      </c>
    </row>
    <row r="97" spans="1:10">
      <c r="A97" t="s">
        <v>346</v>
      </c>
      <c r="B97" t="s">
        <v>90</v>
      </c>
      <c r="C97" t="s">
        <v>115</v>
      </c>
      <c r="D97" s="33">
        <v>45855</v>
      </c>
      <c r="E97" t="s">
        <v>116</v>
      </c>
      <c r="F97" s="5">
        <v>990.07</v>
      </c>
      <c r="G97" t="s">
        <v>461</v>
      </c>
      <c r="H97">
        <f>YEAR(Table1[[#This Row],[Enrollment_Date]])</f>
        <v>2025</v>
      </c>
      <c r="I97">
        <f>MONTH(Table1[[#This Row],[Enrollment_Date]])</f>
        <v>7</v>
      </c>
      <c r="J97" s="34">
        <f t="shared" si="1"/>
        <v>45855</v>
      </c>
    </row>
    <row r="98" spans="1:10">
      <c r="A98" t="s">
        <v>165</v>
      </c>
      <c r="B98" t="s">
        <v>100</v>
      </c>
      <c r="C98" t="s">
        <v>97</v>
      </c>
      <c r="D98" s="33">
        <v>45856</v>
      </c>
      <c r="E98" t="s">
        <v>102</v>
      </c>
      <c r="F98" s="5">
        <v>898.83</v>
      </c>
      <c r="G98" t="s">
        <v>107</v>
      </c>
      <c r="H98">
        <f>YEAR(Table1[[#This Row],[Enrollment_Date]])</f>
        <v>2025</v>
      </c>
      <c r="I98">
        <f>MONTH(Table1[[#This Row],[Enrollment_Date]])</f>
        <v>7</v>
      </c>
      <c r="J98" s="34">
        <f t="shared" si="1"/>
        <v>45856</v>
      </c>
    </row>
    <row r="99" spans="1:10">
      <c r="A99" t="s">
        <v>329</v>
      </c>
      <c r="B99" t="s">
        <v>100</v>
      </c>
      <c r="C99" t="s">
        <v>110</v>
      </c>
      <c r="D99" s="33">
        <v>45857</v>
      </c>
      <c r="E99" t="s">
        <v>92</v>
      </c>
      <c r="F99" s="5">
        <v>851.3</v>
      </c>
      <c r="G99" t="s">
        <v>107</v>
      </c>
      <c r="H99">
        <f>YEAR(Table1[[#This Row],[Enrollment_Date]])</f>
        <v>2025</v>
      </c>
      <c r="I99">
        <f>MONTH(Table1[[#This Row],[Enrollment_Date]])</f>
        <v>7</v>
      </c>
      <c r="J99" s="34">
        <f t="shared" si="1"/>
        <v>45857</v>
      </c>
    </row>
    <row r="100" spans="1:10">
      <c r="A100" t="s">
        <v>353</v>
      </c>
      <c r="B100" t="s">
        <v>90</v>
      </c>
      <c r="C100" t="s">
        <v>97</v>
      </c>
      <c r="D100" s="33">
        <v>45858</v>
      </c>
      <c r="E100" t="s">
        <v>92</v>
      </c>
      <c r="F100" s="5">
        <v>877.02</v>
      </c>
      <c r="G100" t="s">
        <v>93</v>
      </c>
      <c r="H100">
        <f>YEAR(Table1[[#This Row],[Enrollment_Date]])</f>
        <v>2025</v>
      </c>
      <c r="I100">
        <f>MONTH(Table1[[#This Row],[Enrollment_Date]])</f>
        <v>7</v>
      </c>
      <c r="J100" s="34">
        <f t="shared" si="1"/>
        <v>45858</v>
      </c>
    </row>
    <row r="101" spans="1:10">
      <c r="A101" t="s">
        <v>142</v>
      </c>
      <c r="B101" t="s">
        <v>100</v>
      </c>
      <c r="C101" t="s">
        <v>95</v>
      </c>
      <c r="D101" s="33">
        <v>45859</v>
      </c>
      <c r="E101" t="s">
        <v>102</v>
      </c>
      <c r="F101" s="5">
        <v>858.41</v>
      </c>
      <c r="G101" t="s">
        <v>107</v>
      </c>
      <c r="H101">
        <f>YEAR(Table1[[#This Row],[Enrollment_Date]])</f>
        <v>2025</v>
      </c>
      <c r="I101">
        <f>MONTH(Table1[[#This Row],[Enrollment_Date]])</f>
        <v>7</v>
      </c>
      <c r="J101" s="34">
        <f t="shared" si="1"/>
        <v>45859</v>
      </c>
    </row>
    <row r="102" spans="1:10">
      <c r="A102" t="s">
        <v>335</v>
      </c>
      <c r="B102" t="s">
        <v>90</v>
      </c>
      <c r="C102" t="s">
        <v>91</v>
      </c>
      <c r="D102" s="33">
        <v>45860</v>
      </c>
      <c r="E102" t="s">
        <v>116</v>
      </c>
      <c r="F102" s="5">
        <v>926.63</v>
      </c>
      <c r="G102" t="s">
        <v>93</v>
      </c>
      <c r="H102">
        <f>YEAR(Table1[[#This Row],[Enrollment_Date]])</f>
        <v>2025</v>
      </c>
      <c r="I102">
        <f>MONTH(Table1[[#This Row],[Enrollment_Date]])</f>
        <v>7</v>
      </c>
      <c r="J102" s="34">
        <f t="shared" si="1"/>
        <v>45860</v>
      </c>
    </row>
    <row r="103" spans="1:10">
      <c r="A103" t="s">
        <v>226</v>
      </c>
      <c r="B103" t="s">
        <v>90</v>
      </c>
      <c r="C103" t="s">
        <v>101</v>
      </c>
      <c r="D103" s="33">
        <v>45861</v>
      </c>
      <c r="E103" t="s">
        <v>92</v>
      </c>
      <c r="F103" s="5">
        <v>1222.31</v>
      </c>
      <c r="G103" t="s">
        <v>107</v>
      </c>
      <c r="H103">
        <f>YEAR(Table1[[#This Row],[Enrollment_Date]])</f>
        <v>2025</v>
      </c>
      <c r="I103">
        <f>MONTH(Table1[[#This Row],[Enrollment_Date]])</f>
        <v>7</v>
      </c>
      <c r="J103" s="34">
        <f t="shared" si="1"/>
        <v>45861</v>
      </c>
    </row>
    <row r="104" spans="1:10">
      <c r="A104" t="s">
        <v>241</v>
      </c>
      <c r="B104" t="s">
        <v>90</v>
      </c>
      <c r="C104" t="s">
        <v>115</v>
      </c>
      <c r="D104" s="33">
        <v>45862</v>
      </c>
      <c r="E104" t="s">
        <v>92</v>
      </c>
      <c r="F104" s="5">
        <v>1173.08</v>
      </c>
      <c r="G104" t="s">
        <v>148</v>
      </c>
      <c r="H104">
        <f>YEAR(Table1[[#This Row],[Enrollment_Date]])</f>
        <v>2025</v>
      </c>
      <c r="I104">
        <f>MONTH(Table1[[#This Row],[Enrollment_Date]])</f>
        <v>7</v>
      </c>
      <c r="J104" s="34">
        <f t="shared" si="1"/>
        <v>45862</v>
      </c>
    </row>
    <row r="105" spans="1:10" hidden="1">
      <c r="A105" t="s">
        <v>160</v>
      </c>
      <c r="B105" t="s">
        <v>100</v>
      </c>
      <c r="C105" t="s">
        <v>115</v>
      </c>
      <c r="D105" s="4" t="s">
        <v>457</v>
      </c>
      <c r="E105" t="s">
        <v>102</v>
      </c>
      <c r="F105" s="5">
        <v>1105.23</v>
      </c>
      <c r="G105" t="s">
        <v>93</v>
      </c>
      <c r="H105" t="e">
        <f>YEAR(Table1[[#This Row],[Enrollment_Date]])</f>
        <v>#VALUE!</v>
      </c>
      <c r="I105" t="e">
        <f>MONTH(Table1[[#This Row],[Enrollment_Date]])</f>
        <v>#VALUE!</v>
      </c>
      <c r="J105" s="34" t="str">
        <f t="shared" si="1"/>
        <v/>
      </c>
    </row>
    <row r="106" spans="1:10">
      <c r="A106" t="s">
        <v>123</v>
      </c>
      <c r="B106" t="s">
        <v>100</v>
      </c>
      <c r="C106" t="s">
        <v>110</v>
      </c>
      <c r="D106" s="33">
        <v>45869</v>
      </c>
      <c r="E106" t="s">
        <v>92</v>
      </c>
      <c r="F106" s="5">
        <v>866.46</v>
      </c>
      <c r="G106" t="s">
        <v>107</v>
      </c>
      <c r="H106">
        <f>YEAR(Table1[[#This Row],[Enrollment_Date]])</f>
        <v>2025</v>
      </c>
      <c r="I106">
        <f>MONTH(Table1[[#This Row],[Enrollment_Date]])</f>
        <v>7</v>
      </c>
      <c r="J106" s="34">
        <f t="shared" si="1"/>
        <v>45869</v>
      </c>
    </row>
    <row r="107" spans="1:10">
      <c r="A107" t="s">
        <v>109</v>
      </c>
      <c r="B107" t="s">
        <v>100</v>
      </c>
      <c r="C107" t="s">
        <v>95</v>
      </c>
      <c r="D107" s="33">
        <v>45870</v>
      </c>
      <c r="E107" t="s">
        <v>102</v>
      </c>
      <c r="F107" s="5">
        <v>857.18</v>
      </c>
      <c r="G107" t="s">
        <v>93</v>
      </c>
      <c r="H107">
        <f>YEAR(Table1[[#This Row],[Enrollment_Date]])</f>
        <v>2025</v>
      </c>
      <c r="I107">
        <f>MONTH(Table1[[#This Row],[Enrollment_Date]])</f>
        <v>8</v>
      </c>
      <c r="J107" s="34">
        <f t="shared" si="1"/>
        <v>45870</v>
      </c>
    </row>
    <row r="108" spans="1:10">
      <c r="A108" t="s">
        <v>198</v>
      </c>
      <c r="B108" t="s">
        <v>90</v>
      </c>
      <c r="C108" t="s">
        <v>95</v>
      </c>
      <c r="D108" s="33">
        <v>45871</v>
      </c>
      <c r="E108" t="s">
        <v>92</v>
      </c>
      <c r="F108" s="5">
        <v>815.31</v>
      </c>
      <c r="G108" t="s">
        <v>107</v>
      </c>
      <c r="H108">
        <f>YEAR(Table1[[#This Row],[Enrollment_Date]])</f>
        <v>2025</v>
      </c>
      <c r="I108">
        <f>MONTH(Table1[[#This Row],[Enrollment_Date]])</f>
        <v>8</v>
      </c>
      <c r="J108" s="34">
        <f t="shared" si="1"/>
        <v>45871</v>
      </c>
    </row>
    <row r="109" spans="1:10">
      <c r="A109" t="s">
        <v>108</v>
      </c>
      <c r="B109" t="s">
        <v>90</v>
      </c>
      <c r="C109" t="s">
        <v>110</v>
      </c>
      <c r="D109" s="33">
        <v>45872</v>
      </c>
      <c r="E109" t="s">
        <v>92</v>
      </c>
      <c r="F109" s="5">
        <v>832.04</v>
      </c>
      <c r="G109" t="s">
        <v>107</v>
      </c>
      <c r="H109">
        <f>YEAR(Table1[[#This Row],[Enrollment_Date]])</f>
        <v>2025</v>
      </c>
      <c r="I109">
        <f>MONTH(Table1[[#This Row],[Enrollment_Date]])</f>
        <v>8</v>
      </c>
      <c r="J109" s="34">
        <f t="shared" si="1"/>
        <v>45872</v>
      </c>
    </row>
    <row r="110" spans="1:10">
      <c r="A110" t="s">
        <v>213</v>
      </c>
      <c r="B110" t="s">
        <v>90</v>
      </c>
      <c r="C110" t="s">
        <v>115</v>
      </c>
      <c r="D110" s="33">
        <v>45873</v>
      </c>
      <c r="E110" t="s">
        <v>92</v>
      </c>
      <c r="F110" s="5">
        <v>1235.1199999999999</v>
      </c>
      <c r="G110" t="s">
        <v>107</v>
      </c>
      <c r="H110">
        <f>YEAR(Table1[[#This Row],[Enrollment_Date]])</f>
        <v>2025</v>
      </c>
      <c r="I110">
        <f>MONTH(Table1[[#This Row],[Enrollment_Date]])</f>
        <v>8</v>
      </c>
      <c r="J110" s="34">
        <f t="shared" si="1"/>
        <v>45873</v>
      </c>
    </row>
    <row r="111" spans="1:10">
      <c r="A111" t="s">
        <v>391</v>
      </c>
      <c r="B111" t="s">
        <v>100</v>
      </c>
      <c r="C111" t="s">
        <v>91</v>
      </c>
      <c r="D111" s="33">
        <v>45874</v>
      </c>
      <c r="E111" t="s">
        <v>102</v>
      </c>
      <c r="F111" s="5">
        <v>969.17</v>
      </c>
      <c r="G111" t="s">
        <v>93</v>
      </c>
      <c r="H111">
        <f>YEAR(Table1[[#This Row],[Enrollment_Date]])</f>
        <v>2025</v>
      </c>
      <c r="I111">
        <f>MONTH(Table1[[#This Row],[Enrollment_Date]])</f>
        <v>8</v>
      </c>
      <c r="J111" s="34">
        <f t="shared" si="1"/>
        <v>45874</v>
      </c>
    </row>
    <row r="112" spans="1:10">
      <c r="A112" t="s">
        <v>177</v>
      </c>
      <c r="B112" t="s">
        <v>455</v>
      </c>
      <c r="C112" t="s">
        <v>115</v>
      </c>
      <c r="D112" s="33">
        <v>45875</v>
      </c>
      <c r="E112" t="s">
        <v>92</v>
      </c>
      <c r="F112" s="5">
        <v>1021.44</v>
      </c>
      <c r="G112" t="s">
        <v>107</v>
      </c>
      <c r="H112">
        <f>YEAR(Table1[[#This Row],[Enrollment_Date]])</f>
        <v>2025</v>
      </c>
      <c r="I112">
        <f>MONTH(Table1[[#This Row],[Enrollment_Date]])</f>
        <v>8</v>
      </c>
      <c r="J112" s="34">
        <f t="shared" si="1"/>
        <v>45875</v>
      </c>
    </row>
    <row r="113" spans="1:10">
      <c r="A113" t="s">
        <v>134</v>
      </c>
      <c r="B113" t="s">
        <v>100</v>
      </c>
      <c r="C113" t="s">
        <v>95</v>
      </c>
      <c r="D113" s="33">
        <v>45876</v>
      </c>
      <c r="E113" t="s">
        <v>116</v>
      </c>
      <c r="F113" s="5">
        <v>954.23</v>
      </c>
      <c r="G113" t="s">
        <v>107</v>
      </c>
      <c r="H113">
        <f>YEAR(Table1[[#This Row],[Enrollment_Date]])</f>
        <v>2025</v>
      </c>
      <c r="I113">
        <f>MONTH(Table1[[#This Row],[Enrollment_Date]])</f>
        <v>8</v>
      </c>
      <c r="J113" s="34">
        <f t="shared" si="1"/>
        <v>45876</v>
      </c>
    </row>
    <row r="114" spans="1:10">
      <c r="A114" t="s">
        <v>201</v>
      </c>
      <c r="B114" t="s">
        <v>90</v>
      </c>
      <c r="C114" t="s">
        <v>91</v>
      </c>
      <c r="D114" s="33">
        <v>45877</v>
      </c>
      <c r="E114" t="s">
        <v>102</v>
      </c>
      <c r="F114" s="5">
        <v>998.74</v>
      </c>
      <c r="G114" t="s">
        <v>107</v>
      </c>
      <c r="H114">
        <f>YEAR(Table1[[#This Row],[Enrollment_Date]])</f>
        <v>2025</v>
      </c>
      <c r="I114">
        <f>MONTH(Table1[[#This Row],[Enrollment_Date]])</f>
        <v>8</v>
      </c>
      <c r="J114" s="34">
        <f t="shared" si="1"/>
        <v>45877</v>
      </c>
    </row>
    <row r="115" spans="1:10">
      <c r="A115" t="s">
        <v>382</v>
      </c>
      <c r="B115" t="s">
        <v>100</v>
      </c>
      <c r="C115" t="s">
        <v>101</v>
      </c>
      <c r="D115" s="33">
        <v>45878</v>
      </c>
      <c r="E115" t="s">
        <v>102</v>
      </c>
      <c r="F115" s="5">
        <v>1246.8399999999999</v>
      </c>
      <c r="G115" t="s">
        <v>148</v>
      </c>
      <c r="H115">
        <f>YEAR(Table1[[#This Row],[Enrollment_Date]])</f>
        <v>2025</v>
      </c>
      <c r="I115">
        <f>MONTH(Table1[[#This Row],[Enrollment_Date]])</f>
        <v>8</v>
      </c>
      <c r="J115" s="34">
        <f t="shared" si="1"/>
        <v>45878</v>
      </c>
    </row>
    <row r="116" spans="1:10">
      <c r="A116" t="s">
        <v>367</v>
      </c>
      <c r="B116" t="s">
        <v>100</v>
      </c>
      <c r="C116" t="s">
        <v>91</v>
      </c>
      <c r="D116" s="33">
        <v>45879</v>
      </c>
      <c r="E116" t="s">
        <v>92</v>
      </c>
      <c r="F116" s="5">
        <v>984.71</v>
      </c>
      <c r="G116" t="s">
        <v>107</v>
      </c>
      <c r="H116">
        <f>YEAR(Table1[[#This Row],[Enrollment_Date]])</f>
        <v>2025</v>
      </c>
      <c r="I116">
        <f>MONTH(Table1[[#This Row],[Enrollment_Date]])</f>
        <v>8</v>
      </c>
      <c r="J116" s="34">
        <f t="shared" si="1"/>
        <v>45879</v>
      </c>
    </row>
    <row r="117" spans="1:10">
      <c r="A117" t="s">
        <v>289</v>
      </c>
      <c r="B117" t="s">
        <v>90</v>
      </c>
      <c r="C117" t="s">
        <v>91</v>
      </c>
      <c r="D117" s="33">
        <v>45880</v>
      </c>
      <c r="E117" t="s">
        <v>458</v>
      </c>
      <c r="F117" s="5">
        <v>893.1</v>
      </c>
      <c r="G117" t="s">
        <v>107</v>
      </c>
      <c r="H117">
        <f>YEAR(Table1[[#This Row],[Enrollment_Date]])</f>
        <v>2025</v>
      </c>
      <c r="I117">
        <f>MONTH(Table1[[#This Row],[Enrollment_Date]])</f>
        <v>8</v>
      </c>
      <c r="J117" s="34">
        <f t="shared" si="1"/>
        <v>45880</v>
      </c>
    </row>
    <row r="118" spans="1:10">
      <c r="A118" t="s">
        <v>287</v>
      </c>
      <c r="B118" t="s">
        <v>90</v>
      </c>
      <c r="C118" t="s">
        <v>91</v>
      </c>
      <c r="D118" s="33">
        <v>45881</v>
      </c>
      <c r="E118" t="s">
        <v>92</v>
      </c>
      <c r="F118" s="5">
        <v>951.72</v>
      </c>
      <c r="G118" t="s">
        <v>107</v>
      </c>
      <c r="H118">
        <f>YEAR(Table1[[#This Row],[Enrollment_Date]])</f>
        <v>2025</v>
      </c>
      <c r="I118">
        <f>MONTH(Table1[[#This Row],[Enrollment_Date]])</f>
        <v>8</v>
      </c>
      <c r="J118" s="34">
        <f t="shared" si="1"/>
        <v>45881</v>
      </c>
    </row>
    <row r="119" spans="1:10">
      <c r="A119" t="s">
        <v>385</v>
      </c>
      <c r="B119" t="s">
        <v>455</v>
      </c>
      <c r="C119" t="s">
        <v>95</v>
      </c>
      <c r="D119" s="33">
        <v>45882</v>
      </c>
      <c r="E119" t="s">
        <v>116</v>
      </c>
      <c r="F119" s="5">
        <v>913.93</v>
      </c>
      <c r="G119" t="s">
        <v>107</v>
      </c>
      <c r="H119">
        <f>YEAR(Table1[[#This Row],[Enrollment_Date]])</f>
        <v>2025</v>
      </c>
      <c r="I119">
        <f>MONTH(Table1[[#This Row],[Enrollment_Date]])</f>
        <v>8</v>
      </c>
      <c r="J119" s="34">
        <f t="shared" si="1"/>
        <v>45882</v>
      </c>
    </row>
    <row r="120" spans="1:10" hidden="1">
      <c r="A120" t="s">
        <v>390</v>
      </c>
      <c r="B120" t="s">
        <v>100</v>
      </c>
      <c r="C120" t="s">
        <v>97</v>
      </c>
      <c r="D120" s="4" t="s">
        <v>457</v>
      </c>
      <c r="E120" t="s">
        <v>92</v>
      </c>
      <c r="F120" s="5">
        <v>899.84</v>
      </c>
      <c r="G120" t="s">
        <v>107</v>
      </c>
      <c r="H120" t="e">
        <f>YEAR(Table1[[#This Row],[Enrollment_Date]])</f>
        <v>#VALUE!</v>
      </c>
      <c r="I120" t="e">
        <f>MONTH(Table1[[#This Row],[Enrollment_Date]])</f>
        <v>#VALUE!</v>
      </c>
      <c r="J120" s="34" t="str">
        <f t="shared" si="1"/>
        <v/>
      </c>
    </row>
    <row r="121" spans="1:10">
      <c r="A121" t="s">
        <v>313</v>
      </c>
      <c r="B121" t="s">
        <v>90</v>
      </c>
      <c r="C121" t="s">
        <v>91</v>
      </c>
      <c r="D121" s="33">
        <v>45969</v>
      </c>
      <c r="E121" t="s">
        <v>92</v>
      </c>
      <c r="F121" s="5">
        <v>1043.3</v>
      </c>
      <c r="G121" t="s">
        <v>107</v>
      </c>
      <c r="H121">
        <f>YEAR(Table1[[#This Row],[Enrollment_Date]])</f>
        <v>2025</v>
      </c>
      <c r="I121">
        <f>MONTH(Table1[[#This Row],[Enrollment_Date]])</f>
        <v>11</v>
      </c>
      <c r="J121" s="34">
        <f t="shared" si="1"/>
        <v>45969</v>
      </c>
    </row>
    <row r="122" spans="1:10" hidden="1">
      <c r="A122" t="s">
        <v>274</v>
      </c>
      <c r="B122" t="s">
        <v>100</v>
      </c>
      <c r="C122" t="s">
        <v>110</v>
      </c>
      <c r="D122" s="4" t="s">
        <v>457</v>
      </c>
      <c r="E122" t="s">
        <v>102</v>
      </c>
      <c r="F122" s="5">
        <v>717.16</v>
      </c>
      <c r="G122" t="s">
        <v>107</v>
      </c>
      <c r="H122" t="e">
        <f>YEAR(Table1[[#This Row],[Enrollment_Date]])</f>
        <v>#VALUE!</v>
      </c>
      <c r="I122" t="e">
        <f>MONTH(Table1[[#This Row],[Enrollment_Date]])</f>
        <v>#VALUE!</v>
      </c>
      <c r="J122" s="34" t="str">
        <f t="shared" si="1"/>
        <v/>
      </c>
    </row>
    <row r="123" spans="1:10">
      <c r="A123" t="s">
        <v>221</v>
      </c>
      <c r="B123" t="s">
        <v>90</v>
      </c>
      <c r="C123" t="s">
        <v>91</v>
      </c>
      <c r="D123" s="33">
        <v>46028</v>
      </c>
      <c r="E123" t="s">
        <v>92</v>
      </c>
      <c r="F123" s="5">
        <v>1037.53</v>
      </c>
      <c r="G123" t="s">
        <v>93</v>
      </c>
      <c r="H123">
        <f>YEAR(Table1[[#This Row],[Enrollment_Date]])</f>
        <v>2026</v>
      </c>
      <c r="I123">
        <f>MONTH(Table1[[#This Row],[Enrollment_Date]])</f>
        <v>1</v>
      </c>
      <c r="J123" s="34">
        <f t="shared" si="1"/>
        <v>46028</v>
      </c>
    </row>
    <row r="124" spans="1:10">
      <c r="A124" t="s">
        <v>89</v>
      </c>
      <c r="B124" t="s">
        <v>90</v>
      </c>
      <c r="C124" t="s">
        <v>115</v>
      </c>
      <c r="D124" s="33">
        <v>46029</v>
      </c>
      <c r="E124" t="s">
        <v>458</v>
      </c>
      <c r="F124" s="5">
        <v>1260.08</v>
      </c>
      <c r="G124" t="s">
        <v>104</v>
      </c>
      <c r="H124">
        <f>YEAR(Table1[[#This Row],[Enrollment_Date]])</f>
        <v>2026</v>
      </c>
      <c r="I124">
        <f>MONTH(Table1[[#This Row],[Enrollment_Date]])</f>
        <v>1</v>
      </c>
      <c r="J124" s="34">
        <f t="shared" si="1"/>
        <v>46029</v>
      </c>
    </row>
    <row r="125" spans="1:10">
      <c r="A125" t="s">
        <v>145</v>
      </c>
      <c r="B125" t="s">
        <v>100</v>
      </c>
      <c r="C125" t="s">
        <v>97</v>
      </c>
      <c r="D125" s="33">
        <v>46030</v>
      </c>
      <c r="E125" t="s">
        <v>116</v>
      </c>
      <c r="F125" s="5">
        <v>808.9</v>
      </c>
      <c r="G125" t="s">
        <v>107</v>
      </c>
      <c r="H125">
        <f>YEAR(Table1[[#This Row],[Enrollment_Date]])</f>
        <v>2026</v>
      </c>
      <c r="I125">
        <f>MONTH(Table1[[#This Row],[Enrollment_Date]])</f>
        <v>1</v>
      </c>
      <c r="J125" s="34">
        <f t="shared" si="1"/>
        <v>46030</v>
      </c>
    </row>
    <row r="126" spans="1:10">
      <c r="A126" t="s">
        <v>118</v>
      </c>
      <c r="B126" t="s">
        <v>90</v>
      </c>
      <c r="C126" t="s">
        <v>115</v>
      </c>
      <c r="D126" s="33">
        <v>46031</v>
      </c>
      <c r="E126" t="s">
        <v>92</v>
      </c>
      <c r="F126" s="5">
        <v>1204.23</v>
      </c>
      <c r="G126" t="s">
        <v>107</v>
      </c>
      <c r="H126">
        <f>YEAR(Table1[[#This Row],[Enrollment_Date]])</f>
        <v>2026</v>
      </c>
      <c r="I126">
        <f>MONTH(Table1[[#This Row],[Enrollment_Date]])</f>
        <v>1</v>
      </c>
      <c r="J126" s="34">
        <f t="shared" si="1"/>
        <v>46031</v>
      </c>
    </row>
    <row r="127" spans="1:10">
      <c r="A127" t="s">
        <v>270</v>
      </c>
      <c r="B127" t="s">
        <v>90</v>
      </c>
      <c r="C127" t="s">
        <v>97</v>
      </c>
      <c r="D127" s="33">
        <v>46032</v>
      </c>
      <c r="E127" t="s">
        <v>92</v>
      </c>
      <c r="F127" s="5">
        <v>792.94</v>
      </c>
      <c r="G127" t="s">
        <v>107</v>
      </c>
      <c r="H127">
        <f>YEAR(Table1[[#This Row],[Enrollment_Date]])</f>
        <v>2026</v>
      </c>
      <c r="I127">
        <f>MONTH(Table1[[#This Row],[Enrollment_Date]])</f>
        <v>1</v>
      </c>
      <c r="J127" s="34">
        <f t="shared" si="1"/>
        <v>46032</v>
      </c>
    </row>
    <row r="128" spans="1:10">
      <c r="A128" t="s">
        <v>314</v>
      </c>
      <c r="B128" t="s">
        <v>100</v>
      </c>
      <c r="C128" t="s">
        <v>95</v>
      </c>
      <c r="D128" s="33">
        <v>46033</v>
      </c>
      <c r="E128" t="s">
        <v>92</v>
      </c>
      <c r="F128" s="5">
        <v>989.73</v>
      </c>
      <c r="G128" t="s">
        <v>93</v>
      </c>
      <c r="H128">
        <f>YEAR(Table1[[#This Row],[Enrollment_Date]])</f>
        <v>2026</v>
      </c>
      <c r="I128">
        <f>MONTH(Table1[[#This Row],[Enrollment_Date]])</f>
        <v>1</v>
      </c>
      <c r="J128" s="34">
        <f t="shared" si="1"/>
        <v>46033</v>
      </c>
    </row>
    <row r="129" spans="1:10">
      <c r="A129" t="s">
        <v>282</v>
      </c>
      <c r="B129" t="s">
        <v>90</v>
      </c>
      <c r="C129" t="s">
        <v>95</v>
      </c>
      <c r="D129" s="33">
        <v>46034</v>
      </c>
      <c r="E129" t="s">
        <v>116</v>
      </c>
      <c r="F129" s="5">
        <v>864.1</v>
      </c>
      <c r="G129" t="s">
        <v>107</v>
      </c>
      <c r="H129">
        <f>YEAR(Table1[[#This Row],[Enrollment_Date]])</f>
        <v>2026</v>
      </c>
      <c r="I129">
        <f>MONTH(Table1[[#This Row],[Enrollment_Date]])</f>
        <v>1</v>
      </c>
      <c r="J129" s="34">
        <f t="shared" si="1"/>
        <v>46034</v>
      </c>
    </row>
    <row r="130" spans="1:10">
      <c r="A130" t="s">
        <v>239</v>
      </c>
      <c r="B130" t="s">
        <v>90</v>
      </c>
      <c r="C130" t="s">
        <v>115</v>
      </c>
      <c r="D130" s="33">
        <v>46035</v>
      </c>
      <c r="E130" t="s">
        <v>92</v>
      </c>
      <c r="F130" s="5">
        <v>1143.52</v>
      </c>
      <c r="G130" t="s">
        <v>107</v>
      </c>
      <c r="H130">
        <f>YEAR(Table1[[#This Row],[Enrollment_Date]])</f>
        <v>2026</v>
      </c>
      <c r="I130">
        <f>MONTH(Table1[[#This Row],[Enrollment_Date]])</f>
        <v>1</v>
      </c>
      <c r="J130" s="34">
        <f t="shared" si="1"/>
        <v>46035</v>
      </c>
    </row>
    <row r="131" spans="1:10">
      <c r="A131" t="s">
        <v>379</v>
      </c>
      <c r="B131" t="s">
        <v>100</v>
      </c>
      <c r="C131" t="s">
        <v>95</v>
      </c>
      <c r="D131" s="33">
        <v>46036</v>
      </c>
      <c r="E131" t="s">
        <v>92</v>
      </c>
      <c r="F131" s="5">
        <v>1006.17</v>
      </c>
      <c r="G131" t="s">
        <v>461</v>
      </c>
      <c r="H131">
        <f>YEAR(Table1[[#This Row],[Enrollment_Date]])</f>
        <v>2026</v>
      </c>
      <c r="I131">
        <f>MONTH(Table1[[#This Row],[Enrollment_Date]])</f>
        <v>1</v>
      </c>
      <c r="J131" s="34">
        <f t="shared" ref="J131:J194" si="2">IF(ISNUMBER(D131),D131,"")</f>
        <v>46036</v>
      </c>
    </row>
    <row r="132" spans="1:10">
      <c r="A132" t="s">
        <v>179</v>
      </c>
      <c r="B132" t="s">
        <v>90</v>
      </c>
      <c r="C132" t="s">
        <v>91</v>
      </c>
      <c r="D132" s="33">
        <v>46037</v>
      </c>
      <c r="E132" t="s">
        <v>92</v>
      </c>
      <c r="F132" s="5">
        <v>0</v>
      </c>
      <c r="G132" t="s">
        <v>104</v>
      </c>
      <c r="H132">
        <f>YEAR(Table1[[#This Row],[Enrollment_Date]])</f>
        <v>2026</v>
      </c>
      <c r="I132">
        <f>MONTH(Table1[[#This Row],[Enrollment_Date]])</f>
        <v>1</v>
      </c>
      <c r="J132" s="34">
        <f t="shared" si="2"/>
        <v>46037</v>
      </c>
    </row>
    <row r="133" spans="1:10">
      <c r="A133" t="s">
        <v>334</v>
      </c>
      <c r="B133" t="s">
        <v>90</v>
      </c>
      <c r="C133" t="s">
        <v>97</v>
      </c>
      <c r="D133" s="33">
        <v>46038</v>
      </c>
      <c r="E133" t="s">
        <v>116</v>
      </c>
      <c r="F133" s="5">
        <v>760.13</v>
      </c>
      <c r="G133" t="s">
        <v>107</v>
      </c>
      <c r="H133">
        <f>YEAR(Table1[[#This Row],[Enrollment_Date]])</f>
        <v>2026</v>
      </c>
      <c r="I133">
        <f>MONTH(Table1[[#This Row],[Enrollment_Date]])</f>
        <v>1</v>
      </c>
      <c r="J133" s="34">
        <f t="shared" si="2"/>
        <v>46038</v>
      </c>
    </row>
    <row r="134" spans="1:10">
      <c r="A134" t="s">
        <v>200</v>
      </c>
      <c r="B134" t="s">
        <v>90</v>
      </c>
      <c r="C134" t="s">
        <v>91</v>
      </c>
      <c r="D134" s="33">
        <v>46039</v>
      </c>
      <c r="E134" t="s">
        <v>92</v>
      </c>
      <c r="F134" s="5">
        <v>958.74</v>
      </c>
      <c r="G134" t="s">
        <v>107</v>
      </c>
      <c r="H134">
        <f>YEAR(Table1[[#This Row],[Enrollment_Date]])</f>
        <v>2026</v>
      </c>
      <c r="I134">
        <f>MONTH(Table1[[#This Row],[Enrollment_Date]])</f>
        <v>1</v>
      </c>
      <c r="J134" s="34">
        <f t="shared" si="2"/>
        <v>46039</v>
      </c>
    </row>
    <row r="135" spans="1:10">
      <c r="A135" t="s">
        <v>196</v>
      </c>
      <c r="B135" t="s">
        <v>100</v>
      </c>
      <c r="C135" t="s">
        <v>115</v>
      </c>
      <c r="D135" s="33">
        <v>46040</v>
      </c>
      <c r="E135" t="s">
        <v>92</v>
      </c>
      <c r="F135" s="5">
        <v>1087.06</v>
      </c>
      <c r="G135" t="s">
        <v>107</v>
      </c>
      <c r="H135">
        <f>YEAR(Table1[[#This Row],[Enrollment_Date]])</f>
        <v>2026</v>
      </c>
      <c r="I135">
        <f>MONTH(Table1[[#This Row],[Enrollment_Date]])</f>
        <v>1</v>
      </c>
      <c r="J135" s="34">
        <f t="shared" si="2"/>
        <v>46040</v>
      </c>
    </row>
    <row r="136" spans="1:10">
      <c r="A136" t="s">
        <v>158</v>
      </c>
      <c r="B136" t="s">
        <v>455</v>
      </c>
      <c r="C136" t="s">
        <v>97</v>
      </c>
      <c r="D136" s="33">
        <v>46041</v>
      </c>
      <c r="E136" t="s">
        <v>116</v>
      </c>
      <c r="F136" s="5">
        <v>750.77</v>
      </c>
      <c r="G136" t="s">
        <v>107</v>
      </c>
      <c r="H136">
        <f>YEAR(Table1[[#This Row],[Enrollment_Date]])</f>
        <v>2026</v>
      </c>
      <c r="I136">
        <f>MONTH(Table1[[#This Row],[Enrollment_Date]])</f>
        <v>1</v>
      </c>
      <c r="J136" s="34">
        <f t="shared" si="2"/>
        <v>46041</v>
      </c>
    </row>
    <row r="137" spans="1:10">
      <c r="A137" t="s">
        <v>280</v>
      </c>
      <c r="B137" t="s">
        <v>100</v>
      </c>
      <c r="C137" t="s">
        <v>115</v>
      </c>
      <c r="D137" s="33">
        <v>46042</v>
      </c>
      <c r="E137" t="s">
        <v>92</v>
      </c>
      <c r="F137" s="5">
        <v>1101.9000000000001</v>
      </c>
      <c r="G137" t="s">
        <v>93</v>
      </c>
      <c r="H137">
        <f>YEAR(Table1[[#This Row],[Enrollment_Date]])</f>
        <v>2026</v>
      </c>
      <c r="I137">
        <f>MONTH(Table1[[#This Row],[Enrollment_Date]])</f>
        <v>1</v>
      </c>
      <c r="J137" s="34">
        <f t="shared" si="2"/>
        <v>46042</v>
      </c>
    </row>
    <row r="138" spans="1:10">
      <c r="A138" t="s">
        <v>311</v>
      </c>
      <c r="B138" t="s">
        <v>90</v>
      </c>
      <c r="C138" t="s">
        <v>91</v>
      </c>
      <c r="D138" s="33">
        <v>46043</v>
      </c>
      <c r="E138" t="s">
        <v>102</v>
      </c>
      <c r="F138" s="5">
        <v>901.17</v>
      </c>
      <c r="G138" t="s">
        <v>461</v>
      </c>
      <c r="H138">
        <f>YEAR(Table1[[#This Row],[Enrollment_Date]])</f>
        <v>2026</v>
      </c>
      <c r="I138">
        <f>MONTH(Table1[[#This Row],[Enrollment_Date]])</f>
        <v>1</v>
      </c>
      <c r="J138" s="34">
        <f t="shared" si="2"/>
        <v>46043</v>
      </c>
    </row>
    <row r="139" spans="1:10">
      <c r="A139" t="s">
        <v>296</v>
      </c>
      <c r="B139" t="s">
        <v>100</v>
      </c>
      <c r="C139" t="s">
        <v>91</v>
      </c>
      <c r="D139" s="33">
        <v>46044</v>
      </c>
      <c r="E139" t="s">
        <v>92</v>
      </c>
      <c r="F139" s="5">
        <v>954.48</v>
      </c>
      <c r="G139" t="s">
        <v>107</v>
      </c>
      <c r="H139">
        <f>YEAR(Table1[[#This Row],[Enrollment_Date]])</f>
        <v>2026</v>
      </c>
      <c r="I139">
        <f>MONTH(Table1[[#This Row],[Enrollment_Date]])</f>
        <v>1</v>
      </c>
      <c r="J139" s="34">
        <f t="shared" si="2"/>
        <v>46044</v>
      </c>
    </row>
    <row r="140" spans="1:10">
      <c r="A140" t="s">
        <v>143</v>
      </c>
      <c r="B140" t="s">
        <v>90</v>
      </c>
      <c r="C140" t="s">
        <v>91</v>
      </c>
      <c r="D140" s="33">
        <v>46045</v>
      </c>
      <c r="E140" t="s">
        <v>458</v>
      </c>
      <c r="F140" s="5">
        <v>938.05</v>
      </c>
      <c r="G140" t="s">
        <v>107</v>
      </c>
      <c r="H140">
        <f>YEAR(Table1[[#This Row],[Enrollment_Date]])</f>
        <v>2026</v>
      </c>
      <c r="I140">
        <f>MONTH(Table1[[#This Row],[Enrollment_Date]])</f>
        <v>1</v>
      </c>
      <c r="J140" s="34">
        <f t="shared" si="2"/>
        <v>46045</v>
      </c>
    </row>
    <row r="141" spans="1:10">
      <c r="A141" t="s">
        <v>161</v>
      </c>
      <c r="B141" t="s">
        <v>100</v>
      </c>
      <c r="C141" t="s">
        <v>91</v>
      </c>
      <c r="D141" s="33">
        <v>46046</v>
      </c>
      <c r="E141" t="s">
        <v>92</v>
      </c>
      <c r="F141" s="5">
        <v>951.34</v>
      </c>
      <c r="G141" t="s">
        <v>93</v>
      </c>
      <c r="H141">
        <f>YEAR(Table1[[#This Row],[Enrollment_Date]])</f>
        <v>2026</v>
      </c>
      <c r="I141">
        <f>MONTH(Table1[[#This Row],[Enrollment_Date]])</f>
        <v>1</v>
      </c>
      <c r="J141" s="34">
        <f t="shared" si="2"/>
        <v>46046</v>
      </c>
    </row>
    <row r="142" spans="1:10">
      <c r="A142" t="s">
        <v>163</v>
      </c>
      <c r="B142" t="s">
        <v>100</v>
      </c>
      <c r="C142" t="s">
        <v>115</v>
      </c>
      <c r="D142" s="33">
        <v>46047</v>
      </c>
      <c r="E142" t="s">
        <v>102</v>
      </c>
      <c r="F142" s="5">
        <v>1120.7</v>
      </c>
      <c r="G142" t="s">
        <v>93</v>
      </c>
      <c r="H142">
        <f>YEAR(Table1[[#This Row],[Enrollment_Date]])</f>
        <v>2026</v>
      </c>
      <c r="I142">
        <f>MONTH(Table1[[#This Row],[Enrollment_Date]])</f>
        <v>1</v>
      </c>
      <c r="J142" s="34">
        <f t="shared" si="2"/>
        <v>46047</v>
      </c>
    </row>
    <row r="143" spans="1:10">
      <c r="A143" t="s">
        <v>371</v>
      </c>
      <c r="B143" t="s">
        <v>100</v>
      </c>
      <c r="C143" t="s">
        <v>115</v>
      </c>
      <c r="D143" s="33">
        <v>46048</v>
      </c>
      <c r="E143" t="s">
        <v>458</v>
      </c>
      <c r="F143" s="5">
        <v>1137.3499999999999</v>
      </c>
      <c r="G143" t="s">
        <v>93</v>
      </c>
      <c r="H143">
        <f>YEAR(Table1[[#This Row],[Enrollment_Date]])</f>
        <v>2026</v>
      </c>
      <c r="I143">
        <f>MONTH(Table1[[#This Row],[Enrollment_Date]])</f>
        <v>1</v>
      </c>
      <c r="J143" s="34">
        <f t="shared" si="2"/>
        <v>46048</v>
      </c>
    </row>
    <row r="144" spans="1:10">
      <c r="A144" t="s">
        <v>155</v>
      </c>
      <c r="B144" t="s">
        <v>90</v>
      </c>
      <c r="C144" t="s">
        <v>95</v>
      </c>
      <c r="D144" s="33">
        <v>46049</v>
      </c>
      <c r="E144" t="s">
        <v>116</v>
      </c>
      <c r="F144" s="5">
        <v>910.16</v>
      </c>
      <c r="G144" t="s">
        <v>107</v>
      </c>
      <c r="H144">
        <f>YEAR(Table1[[#This Row],[Enrollment_Date]])</f>
        <v>2026</v>
      </c>
      <c r="I144">
        <f>MONTH(Table1[[#This Row],[Enrollment_Date]])</f>
        <v>1</v>
      </c>
      <c r="J144" s="34">
        <f t="shared" si="2"/>
        <v>46049</v>
      </c>
    </row>
    <row r="145" spans="1:10">
      <c r="A145" t="s">
        <v>380</v>
      </c>
      <c r="B145" t="s">
        <v>455</v>
      </c>
      <c r="C145" t="s">
        <v>97</v>
      </c>
      <c r="D145" s="33">
        <v>46050</v>
      </c>
      <c r="E145" t="s">
        <v>92</v>
      </c>
      <c r="F145" s="5">
        <v>769.49</v>
      </c>
      <c r="G145" t="s">
        <v>107</v>
      </c>
      <c r="H145">
        <f>YEAR(Table1[[#This Row],[Enrollment_Date]])</f>
        <v>2026</v>
      </c>
      <c r="I145">
        <f>MONTH(Table1[[#This Row],[Enrollment_Date]])</f>
        <v>1</v>
      </c>
      <c r="J145" s="34">
        <f t="shared" si="2"/>
        <v>46050</v>
      </c>
    </row>
    <row r="146" spans="1:10">
      <c r="A146" t="s">
        <v>300</v>
      </c>
      <c r="B146" t="s">
        <v>90</v>
      </c>
      <c r="C146" t="s">
        <v>91</v>
      </c>
      <c r="D146" s="33">
        <v>46051</v>
      </c>
      <c r="E146" t="s">
        <v>92</v>
      </c>
      <c r="F146" s="5">
        <v>962.27</v>
      </c>
      <c r="G146" t="s">
        <v>461</v>
      </c>
      <c r="H146">
        <f>YEAR(Table1[[#This Row],[Enrollment_Date]])</f>
        <v>2026</v>
      </c>
      <c r="I146">
        <f>MONTH(Table1[[#This Row],[Enrollment_Date]])</f>
        <v>1</v>
      </c>
      <c r="J146" s="34">
        <f t="shared" si="2"/>
        <v>46051</v>
      </c>
    </row>
    <row r="147" spans="1:10">
      <c r="A147" t="s">
        <v>413</v>
      </c>
      <c r="B147" t="s">
        <v>100</v>
      </c>
      <c r="C147" t="s">
        <v>97</v>
      </c>
      <c r="D147" s="33">
        <v>46052</v>
      </c>
      <c r="E147" t="s">
        <v>102</v>
      </c>
      <c r="F147" s="5">
        <v>737.5</v>
      </c>
      <c r="G147" t="s">
        <v>461</v>
      </c>
      <c r="H147">
        <f>YEAR(Table1[[#This Row],[Enrollment_Date]])</f>
        <v>2026</v>
      </c>
      <c r="I147">
        <f>MONTH(Table1[[#This Row],[Enrollment_Date]])</f>
        <v>1</v>
      </c>
      <c r="J147" s="34">
        <f t="shared" si="2"/>
        <v>46052</v>
      </c>
    </row>
    <row r="148" spans="1:10">
      <c r="A148" t="s">
        <v>389</v>
      </c>
      <c r="B148" t="s">
        <v>100</v>
      </c>
      <c r="C148" t="s">
        <v>91</v>
      </c>
      <c r="D148" s="33">
        <v>46053</v>
      </c>
      <c r="E148" t="s">
        <v>92</v>
      </c>
      <c r="F148" s="5">
        <v>997.61</v>
      </c>
      <c r="G148" t="s">
        <v>93</v>
      </c>
      <c r="H148">
        <f>YEAR(Table1[[#This Row],[Enrollment_Date]])</f>
        <v>2026</v>
      </c>
      <c r="I148">
        <f>MONTH(Table1[[#This Row],[Enrollment_Date]])</f>
        <v>1</v>
      </c>
      <c r="J148" s="34">
        <f t="shared" si="2"/>
        <v>46053</v>
      </c>
    </row>
    <row r="149" spans="1:10">
      <c r="A149" t="s">
        <v>172</v>
      </c>
      <c r="B149" t="s">
        <v>100</v>
      </c>
      <c r="C149" t="s">
        <v>95</v>
      </c>
      <c r="D149" s="33">
        <v>46054</v>
      </c>
      <c r="E149" t="s">
        <v>92</v>
      </c>
      <c r="F149" s="5">
        <v>970.52</v>
      </c>
      <c r="G149" t="s">
        <v>107</v>
      </c>
      <c r="H149">
        <f>YEAR(Table1[[#This Row],[Enrollment_Date]])</f>
        <v>2026</v>
      </c>
      <c r="I149">
        <f>MONTH(Table1[[#This Row],[Enrollment_Date]])</f>
        <v>2</v>
      </c>
      <c r="J149" s="34">
        <f t="shared" si="2"/>
        <v>46054</v>
      </c>
    </row>
    <row r="150" spans="1:10">
      <c r="A150" t="s">
        <v>354</v>
      </c>
      <c r="B150" t="s">
        <v>100</v>
      </c>
      <c r="C150" t="s">
        <v>97</v>
      </c>
      <c r="D150" s="33">
        <v>46055</v>
      </c>
      <c r="E150" t="s">
        <v>92</v>
      </c>
      <c r="F150" s="5">
        <v>881.14</v>
      </c>
      <c r="G150" t="s">
        <v>107</v>
      </c>
      <c r="H150">
        <f>YEAR(Table1[[#This Row],[Enrollment_Date]])</f>
        <v>2026</v>
      </c>
      <c r="I150">
        <f>MONTH(Table1[[#This Row],[Enrollment_Date]])</f>
        <v>2</v>
      </c>
      <c r="J150" s="34">
        <f t="shared" si="2"/>
        <v>46055</v>
      </c>
    </row>
    <row r="151" spans="1:10">
      <c r="A151" t="s">
        <v>299</v>
      </c>
      <c r="B151" t="s">
        <v>90</v>
      </c>
      <c r="C151" t="s">
        <v>110</v>
      </c>
      <c r="D151" s="33">
        <v>46056</v>
      </c>
      <c r="E151" t="s">
        <v>92</v>
      </c>
      <c r="F151" s="5">
        <v>803.55</v>
      </c>
      <c r="G151" t="s">
        <v>107</v>
      </c>
      <c r="H151">
        <f>YEAR(Table1[[#This Row],[Enrollment_Date]])</f>
        <v>2026</v>
      </c>
      <c r="I151">
        <f>MONTH(Table1[[#This Row],[Enrollment_Date]])</f>
        <v>2</v>
      </c>
      <c r="J151" s="34">
        <f t="shared" si="2"/>
        <v>46056</v>
      </c>
    </row>
    <row r="152" spans="1:10">
      <c r="A152" t="s">
        <v>352</v>
      </c>
      <c r="B152" t="s">
        <v>90</v>
      </c>
      <c r="C152" t="s">
        <v>97</v>
      </c>
      <c r="D152" s="33">
        <v>46057</v>
      </c>
      <c r="E152" t="s">
        <v>102</v>
      </c>
      <c r="F152" s="5">
        <v>830.91</v>
      </c>
      <c r="G152" t="s">
        <v>93</v>
      </c>
      <c r="H152">
        <f>YEAR(Table1[[#This Row],[Enrollment_Date]])</f>
        <v>2026</v>
      </c>
      <c r="I152">
        <f>MONTH(Table1[[#This Row],[Enrollment_Date]])</f>
        <v>2</v>
      </c>
      <c r="J152" s="34">
        <f t="shared" si="2"/>
        <v>46057</v>
      </c>
    </row>
    <row r="153" spans="1:10">
      <c r="A153" t="s">
        <v>140</v>
      </c>
      <c r="B153" t="s">
        <v>100</v>
      </c>
      <c r="C153" t="s">
        <v>115</v>
      </c>
      <c r="D153" s="33">
        <v>46058</v>
      </c>
      <c r="E153" t="s">
        <v>92</v>
      </c>
      <c r="F153" s="5">
        <v>1178.9000000000001</v>
      </c>
      <c r="G153" t="s">
        <v>107</v>
      </c>
      <c r="H153">
        <f>YEAR(Table1[[#This Row],[Enrollment_Date]])</f>
        <v>2026</v>
      </c>
      <c r="I153">
        <f>MONTH(Table1[[#This Row],[Enrollment_Date]])</f>
        <v>2</v>
      </c>
      <c r="J153" s="34">
        <f t="shared" si="2"/>
        <v>46058</v>
      </c>
    </row>
    <row r="154" spans="1:10">
      <c r="A154" t="s">
        <v>363</v>
      </c>
      <c r="B154" t="s">
        <v>90</v>
      </c>
      <c r="C154" t="s">
        <v>91</v>
      </c>
      <c r="D154" s="33">
        <v>46059</v>
      </c>
      <c r="E154" t="s">
        <v>92</v>
      </c>
      <c r="F154" s="5">
        <v>1073.8399999999999</v>
      </c>
      <c r="G154" t="s">
        <v>107</v>
      </c>
      <c r="H154">
        <f>YEAR(Table1[[#This Row],[Enrollment_Date]])</f>
        <v>2026</v>
      </c>
      <c r="I154">
        <f>MONTH(Table1[[#This Row],[Enrollment_Date]])</f>
        <v>2</v>
      </c>
      <c r="J154" s="34">
        <f t="shared" si="2"/>
        <v>46059</v>
      </c>
    </row>
    <row r="155" spans="1:10">
      <c r="A155" t="s">
        <v>253</v>
      </c>
      <c r="B155" t="s">
        <v>100</v>
      </c>
      <c r="C155" t="s">
        <v>456</v>
      </c>
      <c r="D155" s="33">
        <v>46060</v>
      </c>
      <c r="E155" t="s">
        <v>92</v>
      </c>
      <c r="F155" s="5">
        <v>981.21</v>
      </c>
      <c r="G155" t="s">
        <v>107</v>
      </c>
      <c r="H155">
        <f>YEAR(Table1[[#This Row],[Enrollment_Date]])</f>
        <v>2026</v>
      </c>
      <c r="I155">
        <f>MONTH(Table1[[#This Row],[Enrollment_Date]])</f>
        <v>2</v>
      </c>
      <c r="J155" s="34">
        <f t="shared" si="2"/>
        <v>46060</v>
      </c>
    </row>
    <row r="156" spans="1:10">
      <c r="A156" t="s">
        <v>237</v>
      </c>
      <c r="B156" t="s">
        <v>100</v>
      </c>
      <c r="C156" t="s">
        <v>456</v>
      </c>
      <c r="D156" s="33">
        <v>46061</v>
      </c>
      <c r="E156" t="s">
        <v>116</v>
      </c>
      <c r="F156" s="5">
        <v>1036.3800000000001</v>
      </c>
      <c r="G156" t="s">
        <v>93</v>
      </c>
      <c r="H156">
        <f>YEAR(Table1[[#This Row],[Enrollment_Date]])</f>
        <v>2026</v>
      </c>
      <c r="I156">
        <f>MONTH(Table1[[#This Row],[Enrollment_Date]])</f>
        <v>2</v>
      </c>
      <c r="J156" s="34">
        <f t="shared" si="2"/>
        <v>46061</v>
      </c>
    </row>
    <row r="157" spans="1:10">
      <c r="A157" t="s">
        <v>277</v>
      </c>
      <c r="B157" t="s">
        <v>100</v>
      </c>
      <c r="C157" t="s">
        <v>115</v>
      </c>
      <c r="D157" s="33">
        <v>46062</v>
      </c>
      <c r="E157" t="s">
        <v>102</v>
      </c>
      <c r="F157" s="5">
        <v>1068.25</v>
      </c>
      <c r="G157" t="s">
        <v>107</v>
      </c>
      <c r="H157">
        <f>YEAR(Table1[[#This Row],[Enrollment_Date]])</f>
        <v>2026</v>
      </c>
      <c r="I157">
        <f>MONTH(Table1[[#This Row],[Enrollment_Date]])</f>
        <v>2</v>
      </c>
      <c r="J157" s="34">
        <f t="shared" si="2"/>
        <v>46062</v>
      </c>
    </row>
    <row r="158" spans="1:10">
      <c r="A158" t="s">
        <v>275</v>
      </c>
      <c r="B158" t="s">
        <v>90</v>
      </c>
      <c r="C158" t="s">
        <v>101</v>
      </c>
      <c r="D158" s="33">
        <v>46063</v>
      </c>
      <c r="E158" t="s">
        <v>458</v>
      </c>
      <c r="F158" s="5">
        <v>1105.49</v>
      </c>
      <c r="G158" t="s">
        <v>148</v>
      </c>
      <c r="H158">
        <f>YEAR(Table1[[#This Row],[Enrollment_Date]])</f>
        <v>2026</v>
      </c>
      <c r="I158">
        <f>MONTH(Table1[[#This Row],[Enrollment_Date]])</f>
        <v>2</v>
      </c>
      <c r="J158" s="34">
        <f t="shared" si="2"/>
        <v>46063</v>
      </c>
    </row>
    <row r="159" spans="1:10">
      <c r="A159" t="s">
        <v>387</v>
      </c>
      <c r="B159" t="s">
        <v>90</v>
      </c>
      <c r="C159" t="s">
        <v>97</v>
      </c>
      <c r="D159" s="33">
        <v>46064</v>
      </c>
      <c r="E159" t="s">
        <v>102</v>
      </c>
      <c r="F159" s="5">
        <v>0</v>
      </c>
      <c r="G159" t="s">
        <v>107</v>
      </c>
      <c r="H159">
        <f>YEAR(Table1[[#This Row],[Enrollment_Date]])</f>
        <v>2026</v>
      </c>
      <c r="I159">
        <f>MONTH(Table1[[#This Row],[Enrollment_Date]])</f>
        <v>2</v>
      </c>
      <c r="J159" s="34">
        <f t="shared" si="2"/>
        <v>46064</v>
      </c>
    </row>
    <row r="160" spans="1:10">
      <c r="A160" t="s">
        <v>384</v>
      </c>
      <c r="B160" t="s">
        <v>100</v>
      </c>
      <c r="C160" t="s">
        <v>456</v>
      </c>
      <c r="D160" s="33">
        <v>46065</v>
      </c>
      <c r="E160" t="s">
        <v>458</v>
      </c>
      <c r="F160" s="5">
        <v>738.48</v>
      </c>
      <c r="G160" t="s">
        <v>107</v>
      </c>
      <c r="H160">
        <f>YEAR(Table1[[#This Row],[Enrollment_Date]])</f>
        <v>2026</v>
      </c>
      <c r="I160">
        <f>MONTH(Table1[[#This Row],[Enrollment_Date]])</f>
        <v>2</v>
      </c>
      <c r="J160" s="34">
        <f t="shared" si="2"/>
        <v>46065</v>
      </c>
    </row>
    <row r="161" spans="1:10" hidden="1">
      <c r="A161" t="s">
        <v>112</v>
      </c>
      <c r="B161" t="s">
        <v>100</v>
      </c>
      <c r="C161" t="s">
        <v>95</v>
      </c>
      <c r="D161" s="4" t="s">
        <v>457</v>
      </c>
      <c r="E161" t="s">
        <v>92</v>
      </c>
      <c r="F161" s="5">
        <v>817.84</v>
      </c>
      <c r="G161" t="s">
        <v>104</v>
      </c>
      <c r="H161" t="e">
        <f>YEAR(Table1[[#This Row],[Enrollment_Date]])</f>
        <v>#VALUE!</v>
      </c>
      <c r="I161" t="e">
        <f>MONTH(Table1[[#This Row],[Enrollment_Date]])</f>
        <v>#VALUE!</v>
      </c>
      <c r="J161" s="34" t="str">
        <f t="shared" si="2"/>
        <v/>
      </c>
    </row>
    <row r="162" spans="1:10">
      <c r="A162" t="s">
        <v>414</v>
      </c>
      <c r="B162" t="s">
        <v>90</v>
      </c>
      <c r="C162" t="s">
        <v>115</v>
      </c>
      <c r="D162" s="33">
        <v>46092</v>
      </c>
      <c r="E162" t="s">
        <v>92</v>
      </c>
      <c r="F162" s="5">
        <v>1071.8800000000001</v>
      </c>
      <c r="G162" t="s">
        <v>148</v>
      </c>
      <c r="H162">
        <f>YEAR(Table1[[#This Row],[Enrollment_Date]])</f>
        <v>2026</v>
      </c>
      <c r="I162">
        <f>MONTH(Table1[[#This Row],[Enrollment_Date]])</f>
        <v>3</v>
      </c>
      <c r="J162" s="34">
        <f t="shared" si="2"/>
        <v>46092</v>
      </c>
    </row>
    <row r="163" spans="1:10">
      <c r="A163" t="s">
        <v>322</v>
      </c>
      <c r="B163" t="s">
        <v>100</v>
      </c>
      <c r="C163" t="s">
        <v>91</v>
      </c>
      <c r="D163" s="33">
        <v>46093</v>
      </c>
      <c r="E163" t="s">
        <v>116</v>
      </c>
      <c r="F163" s="5">
        <v>1021.08</v>
      </c>
      <c r="G163" t="s">
        <v>104</v>
      </c>
      <c r="H163">
        <f>YEAR(Table1[[#This Row],[Enrollment_Date]])</f>
        <v>2026</v>
      </c>
      <c r="I163">
        <f>MONTH(Table1[[#This Row],[Enrollment_Date]])</f>
        <v>3</v>
      </c>
      <c r="J163" s="34">
        <f t="shared" si="2"/>
        <v>46093</v>
      </c>
    </row>
    <row r="164" spans="1:10">
      <c r="A164" t="s">
        <v>368</v>
      </c>
      <c r="B164" t="s">
        <v>90</v>
      </c>
      <c r="C164" t="s">
        <v>97</v>
      </c>
      <c r="D164" s="33">
        <v>46094</v>
      </c>
      <c r="E164" t="s">
        <v>102</v>
      </c>
      <c r="F164" s="5">
        <v>761.3</v>
      </c>
      <c r="G164" t="s">
        <v>104</v>
      </c>
      <c r="H164">
        <f>YEAR(Table1[[#This Row],[Enrollment_Date]])</f>
        <v>2026</v>
      </c>
      <c r="I164">
        <f>MONTH(Table1[[#This Row],[Enrollment_Date]])</f>
        <v>3</v>
      </c>
      <c r="J164" s="34">
        <f t="shared" si="2"/>
        <v>46094</v>
      </c>
    </row>
    <row r="165" spans="1:10">
      <c r="A165" t="s">
        <v>337</v>
      </c>
      <c r="B165" t="s">
        <v>90</v>
      </c>
      <c r="C165" t="s">
        <v>115</v>
      </c>
      <c r="D165" s="33">
        <v>46095</v>
      </c>
      <c r="E165" t="s">
        <v>92</v>
      </c>
      <c r="F165" s="5">
        <v>1020.21</v>
      </c>
      <c r="G165" t="s">
        <v>107</v>
      </c>
      <c r="H165">
        <f>YEAR(Table1[[#This Row],[Enrollment_Date]])</f>
        <v>2026</v>
      </c>
      <c r="I165">
        <f>MONTH(Table1[[#This Row],[Enrollment_Date]])</f>
        <v>3</v>
      </c>
      <c r="J165" s="34">
        <f t="shared" si="2"/>
        <v>46095</v>
      </c>
    </row>
    <row r="166" spans="1:10">
      <c r="A166" t="s">
        <v>141</v>
      </c>
      <c r="B166" t="s">
        <v>100</v>
      </c>
      <c r="C166" t="s">
        <v>95</v>
      </c>
      <c r="D166" s="33">
        <v>46096</v>
      </c>
      <c r="E166" t="s">
        <v>102</v>
      </c>
      <c r="F166" s="5">
        <v>886.5</v>
      </c>
      <c r="G166" t="s">
        <v>107</v>
      </c>
      <c r="H166">
        <f>YEAR(Table1[[#This Row],[Enrollment_Date]])</f>
        <v>2026</v>
      </c>
      <c r="I166">
        <f>MONTH(Table1[[#This Row],[Enrollment_Date]])</f>
        <v>3</v>
      </c>
      <c r="J166" s="34">
        <f t="shared" si="2"/>
        <v>46096</v>
      </c>
    </row>
    <row r="167" spans="1:10">
      <c r="A167" t="s">
        <v>103</v>
      </c>
      <c r="B167" t="s">
        <v>90</v>
      </c>
      <c r="C167" t="s">
        <v>115</v>
      </c>
      <c r="D167" s="33">
        <v>46097</v>
      </c>
      <c r="E167" t="s">
        <v>116</v>
      </c>
      <c r="F167" s="5">
        <v>1019.28</v>
      </c>
      <c r="G167" t="s">
        <v>107</v>
      </c>
      <c r="H167">
        <f>YEAR(Table1[[#This Row],[Enrollment_Date]])</f>
        <v>2026</v>
      </c>
      <c r="I167">
        <f>MONTH(Table1[[#This Row],[Enrollment_Date]])</f>
        <v>3</v>
      </c>
      <c r="J167" s="34">
        <f t="shared" si="2"/>
        <v>46097</v>
      </c>
    </row>
    <row r="168" spans="1:10" hidden="1">
      <c r="A168" t="s">
        <v>195</v>
      </c>
      <c r="B168" t="s">
        <v>100</v>
      </c>
      <c r="C168" t="s">
        <v>91</v>
      </c>
      <c r="D168" s="4" t="s">
        <v>457</v>
      </c>
      <c r="E168" t="s">
        <v>92</v>
      </c>
      <c r="F168" s="5">
        <v>1057.9100000000001</v>
      </c>
      <c r="G168" t="s">
        <v>107</v>
      </c>
      <c r="H168" t="e">
        <f>YEAR(Table1[[#This Row],[Enrollment_Date]])</f>
        <v>#VALUE!</v>
      </c>
      <c r="I168" t="e">
        <f>MONTH(Table1[[#This Row],[Enrollment_Date]])</f>
        <v>#VALUE!</v>
      </c>
      <c r="J168" s="34" t="str">
        <f t="shared" si="2"/>
        <v/>
      </c>
    </row>
    <row r="169" spans="1:10">
      <c r="A169" t="s">
        <v>415</v>
      </c>
      <c r="B169" t="s">
        <v>455</v>
      </c>
      <c r="C169" t="s">
        <v>91</v>
      </c>
      <c r="D169" s="33">
        <v>45858</v>
      </c>
      <c r="E169" t="s">
        <v>92</v>
      </c>
      <c r="F169" s="5">
        <v>947.68</v>
      </c>
      <c r="G169" t="s">
        <v>107</v>
      </c>
      <c r="H169">
        <f>YEAR(Table1[[#This Row],[Enrollment_Date]])</f>
        <v>2025</v>
      </c>
      <c r="I169">
        <f>MONTH(Table1[[#This Row],[Enrollment_Date]])</f>
        <v>7</v>
      </c>
      <c r="J169" s="34">
        <f t="shared" si="2"/>
        <v>45858</v>
      </c>
    </row>
    <row r="170" spans="1:10" hidden="1">
      <c r="A170" t="s">
        <v>395</v>
      </c>
      <c r="B170" t="s">
        <v>90</v>
      </c>
      <c r="C170" t="s">
        <v>115</v>
      </c>
      <c r="D170" s="4" t="s">
        <v>457</v>
      </c>
      <c r="E170" t="s">
        <v>92</v>
      </c>
      <c r="F170" s="5">
        <v>1146.98</v>
      </c>
      <c r="G170" t="s">
        <v>148</v>
      </c>
      <c r="H170" t="e">
        <f>YEAR(Table1[[#This Row],[Enrollment_Date]])</f>
        <v>#VALUE!</v>
      </c>
      <c r="I170" t="e">
        <f>MONTH(Table1[[#This Row],[Enrollment_Date]])</f>
        <v>#VALUE!</v>
      </c>
      <c r="J170" s="34" t="str">
        <f t="shared" si="2"/>
        <v/>
      </c>
    </row>
    <row r="171" spans="1:10">
      <c r="A171" t="s">
        <v>319</v>
      </c>
      <c r="B171" t="s">
        <v>90</v>
      </c>
      <c r="C171" t="s">
        <v>97</v>
      </c>
      <c r="D171" s="33">
        <v>45893</v>
      </c>
      <c r="E171" t="s">
        <v>92</v>
      </c>
      <c r="F171" s="5">
        <v>805.2</v>
      </c>
      <c r="G171" t="s">
        <v>107</v>
      </c>
      <c r="H171">
        <f>YEAR(Table1[[#This Row],[Enrollment_Date]])</f>
        <v>2025</v>
      </c>
      <c r="I171">
        <f>MONTH(Table1[[#This Row],[Enrollment_Date]])</f>
        <v>8</v>
      </c>
      <c r="J171" s="34">
        <f t="shared" si="2"/>
        <v>45893</v>
      </c>
    </row>
    <row r="172" spans="1:10">
      <c r="A172" t="s">
        <v>138</v>
      </c>
      <c r="B172" t="s">
        <v>90</v>
      </c>
      <c r="C172" t="s">
        <v>101</v>
      </c>
      <c r="D172" s="33">
        <v>45894</v>
      </c>
      <c r="E172" t="s">
        <v>92</v>
      </c>
      <c r="F172" s="5">
        <v>1198.92</v>
      </c>
      <c r="G172" t="s">
        <v>107</v>
      </c>
      <c r="H172">
        <f>YEAR(Table1[[#This Row],[Enrollment_Date]])</f>
        <v>2025</v>
      </c>
      <c r="I172">
        <f>MONTH(Table1[[#This Row],[Enrollment_Date]])</f>
        <v>8</v>
      </c>
      <c r="J172" s="34">
        <f t="shared" si="2"/>
        <v>45894</v>
      </c>
    </row>
    <row r="173" spans="1:10">
      <c r="A173" t="s">
        <v>383</v>
      </c>
      <c r="B173" t="s">
        <v>100</v>
      </c>
      <c r="C173" t="s">
        <v>91</v>
      </c>
      <c r="D173" s="33">
        <v>45895</v>
      </c>
      <c r="E173" t="s">
        <v>102</v>
      </c>
      <c r="F173" s="5">
        <v>0</v>
      </c>
      <c r="G173" t="s">
        <v>93</v>
      </c>
      <c r="H173">
        <f>YEAR(Table1[[#This Row],[Enrollment_Date]])</f>
        <v>2025</v>
      </c>
      <c r="I173">
        <f>MONTH(Table1[[#This Row],[Enrollment_Date]])</f>
        <v>8</v>
      </c>
      <c r="J173" s="34">
        <f t="shared" si="2"/>
        <v>45895</v>
      </c>
    </row>
    <row r="174" spans="1:10">
      <c r="A174" t="s">
        <v>285</v>
      </c>
      <c r="B174" t="s">
        <v>90</v>
      </c>
      <c r="C174" t="s">
        <v>110</v>
      </c>
      <c r="D174" s="33">
        <v>45896</v>
      </c>
      <c r="E174" t="s">
        <v>116</v>
      </c>
      <c r="F174" s="5">
        <v>734.56</v>
      </c>
      <c r="G174" t="s">
        <v>104</v>
      </c>
      <c r="H174">
        <f>YEAR(Table1[[#This Row],[Enrollment_Date]])</f>
        <v>2025</v>
      </c>
      <c r="I174">
        <f>MONTH(Table1[[#This Row],[Enrollment_Date]])</f>
        <v>8</v>
      </c>
      <c r="J174" s="34">
        <f t="shared" si="2"/>
        <v>45896</v>
      </c>
    </row>
    <row r="175" spans="1:10">
      <c r="A175" t="s">
        <v>261</v>
      </c>
      <c r="B175" t="s">
        <v>100</v>
      </c>
      <c r="C175" t="s">
        <v>97</v>
      </c>
      <c r="D175" s="33">
        <v>45897</v>
      </c>
      <c r="E175" t="s">
        <v>458</v>
      </c>
      <c r="F175" s="5">
        <v>729.7</v>
      </c>
      <c r="G175" t="s">
        <v>107</v>
      </c>
      <c r="H175">
        <f>YEAR(Table1[[#This Row],[Enrollment_Date]])</f>
        <v>2025</v>
      </c>
      <c r="I175">
        <f>MONTH(Table1[[#This Row],[Enrollment_Date]])</f>
        <v>8</v>
      </c>
      <c r="J175" s="34">
        <f t="shared" si="2"/>
        <v>45897</v>
      </c>
    </row>
    <row r="176" spans="1:10">
      <c r="A176" t="s">
        <v>303</v>
      </c>
      <c r="B176" t="s">
        <v>100</v>
      </c>
      <c r="C176" t="s">
        <v>97</v>
      </c>
      <c r="D176" s="33">
        <v>45898</v>
      </c>
      <c r="E176" t="s">
        <v>102</v>
      </c>
      <c r="F176" s="5">
        <v>823.71</v>
      </c>
      <c r="G176" t="s">
        <v>148</v>
      </c>
      <c r="H176">
        <f>YEAR(Table1[[#This Row],[Enrollment_Date]])</f>
        <v>2025</v>
      </c>
      <c r="I176">
        <f>MONTH(Table1[[#This Row],[Enrollment_Date]])</f>
        <v>8</v>
      </c>
      <c r="J176" s="34">
        <f t="shared" si="2"/>
        <v>45898</v>
      </c>
    </row>
    <row r="177" spans="1:10">
      <c r="A177" t="s">
        <v>202</v>
      </c>
      <c r="B177" t="s">
        <v>90</v>
      </c>
      <c r="C177" t="s">
        <v>91</v>
      </c>
      <c r="D177" s="33">
        <v>45899</v>
      </c>
      <c r="E177" t="s">
        <v>92</v>
      </c>
      <c r="F177" s="5">
        <v>1004.89</v>
      </c>
      <c r="G177" t="s">
        <v>148</v>
      </c>
      <c r="H177">
        <f>YEAR(Table1[[#This Row],[Enrollment_Date]])</f>
        <v>2025</v>
      </c>
      <c r="I177">
        <f>MONTH(Table1[[#This Row],[Enrollment_Date]])</f>
        <v>8</v>
      </c>
      <c r="J177" s="34">
        <f t="shared" si="2"/>
        <v>45899</v>
      </c>
    </row>
    <row r="178" spans="1:10">
      <c r="A178" t="s">
        <v>244</v>
      </c>
      <c r="B178" t="s">
        <v>90</v>
      </c>
      <c r="C178" t="s">
        <v>95</v>
      </c>
      <c r="D178" s="33">
        <v>45900</v>
      </c>
      <c r="E178" t="s">
        <v>92</v>
      </c>
      <c r="F178" s="5">
        <v>931.58</v>
      </c>
      <c r="G178" t="s">
        <v>107</v>
      </c>
      <c r="H178">
        <f>YEAR(Table1[[#This Row],[Enrollment_Date]])</f>
        <v>2025</v>
      </c>
      <c r="I178">
        <f>MONTH(Table1[[#This Row],[Enrollment_Date]])</f>
        <v>8</v>
      </c>
      <c r="J178" s="34">
        <f t="shared" si="2"/>
        <v>45900</v>
      </c>
    </row>
    <row r="179" spans="1:10" hidden="1">
      <c r="A179" t="s">
        <v>223</v>
      </c>
      <c r="B179" t="s">
        <v>90</v>
      </c>
      <c r="C179" t="s">
        <v>97</v>
      </c>
      <c r="D179" s="4" t="s">
        <v>457</v>
      </c>
      <c r="E179" t="s">
        <v>116</v>
      </c>
      <c r="F179" s="5">
        <v>915.99</v>
      </c>
      <c r="G179" t="s">
        <v>107</v>
      </c>
      <c r="H179" t="e">
        <f>YEAR(Table1[[#This Row],[Enrollment_Date]])</f>
        <v>#VALUE!</v>
      </c>
      <c r="I179" t="e">
        <f>MONTH(Table1[[#This Row],[Enrollment_Date]])</f>
        <v>#VALUE!</v>
      </c>
      <c r="J179" s="34" t="str">
        <f t="shared" si="2"/>
        <v/>
      </c>
    </row>
    <row r="180" spans="1:10">
      <c r="A180" t="s">
        <v>342</v>
      </c>
      <c r="B180" t="s">
        <v>100</v>
      </c>
      <c r="C180" t="s">
        <v>456</v>
      </c>
      <c r="D180" s="33">
        <v>45976</v>
      </c>
      <c r="E180" t="s">
        <v>102</v>
      </c>
      <c r="F180" s="5">
        <v>907.19</v>
      </c>
      <c r="G180" t="s">
        <v>148</v>
      </c>
      <c r="H180">
        <f>YEAR(Table1[[#This Row],[Enrollment_Date]])</f>
        <v>2025</v>
      </c>
      <c r="I180">
        <f>MONTH(Table1[[#This Row],[Enrollment_Date]])</f>
        <v>11</v>
      </c>
      <c r="J180" s="34">
        <f t="shared" si="2"/>
        <v>45976</v>
      </c>
    </row>
    <row r="181" spans="1:10">
      <c r="A181" t="s">
        <v>288</v>
      </c>
      <c r="B181" t="s">
        <v>100</v>
      </c>
      <c r="C181" t="s">
        <v>97</v>
      </c>
      <c r="D181" s="33">
        <v>45977</v>
      </c>
      <c r="E181" t="s">
        <v>92</v>
      </c>
      <c r="F181" s="5">
        <v>849.2</v>
      </c>
      <c r="G181" t="s">
        <v>107</v>
      </c>
      <c r="H181">
        <f>YEAR(Table1[[#This Row],[Enrollment_Date]])</f>
        <v>2025</v>
      </c>
      <c r="I181">
        <f>MONTH(Table1[[#This Row],[Enrollment_Date]])</f>
        <v>11</v>
      </c>
      <c r="J181" s="34">
        <f t="shared" si="2"/>
        <v>45977</v>
      </c>
    </row>
    <row r="182" spans="1:10">
      <c r="A182" t="s">
        <v>176</v>
      </c>
      <c r="B182" t="s">
        <v>90</v>
      </c>
      <c r="C182" t="s">
        <v>91</v>
      </c>
      <c r="D182" s="33">
        <v>45978</v>
      </c>
      <c r="E182" t="s">
        <v>116</v>
      </c>
      <c r="F182" s="5">
        <v>996.32</v>
      </c>
      <c r="G182" t="s">
        <v>93</v>
      </c>
      <c r="H182">
        <f>YEAR(Table1[[#This Row],[Enrollment_Date]])</f>
        <v>2025</v>
      </c>
      <c r="I182">
        <f>MONTH(Table1[[#This Row],[Enrollment_Date]])</f>
        <v>11</v>
      </c>
      <c r="J182" s="34">
        <f t="shared" si="2"/>
        <v>45978</v>
      </c>
    </row>
    <row r="183" spans="1:10">
      <c r="A183" t="s">
        <v>153</v>
      </c>
      <c r="B183" t="s">
        <v>455</v>
      </c>
      <c r="C183" t="s">
        <v>97</v>
      </c>
      <c r="D183" s="33">
        <v>45979</v>
      </c>
      <c r="E183" t="s">
        <v>92</v>
      </c>
      <c r="F183" s="5">
        <v>795</v>
      </c>
      <c r="G183" t="s">
        <v>107</v>
      </c>
      <c r="H183">
        <f>YEAR(Table1[[#This Row],[Enrollment_Date]])</f>
        <v>2025</v>
      </c>
      <c r="I183">
        <f>MONTH(Table1[[#This Row],[Enrollment_Date]])</f>
        <v>11</v>
      </c>
      <c r="J183" s="34">
        <f t="shared" si="2"/>
        <v>45979</v>
      </c>
    </row>
    <row r="184" spans="1:10">
      <c r="A184" t="s">
        <v>295</v>
      </c>
      <c r="B184" t="s">
        <v>90</v>
      </c>
      <c r="C184" t="s">
        <v>91</v>
      </c>
      <c r="D184" s="33">
        <v>45980</v>
      </c>
      <c r="E184" t="s">
        <v>92</v>
      </c>
      <c r="F184" s="5">
        <v>974.48</v>
      </c>
      <c r="G184" t="s">
        <v>107</v>
      </c>
      <c r="H184">
        <f>YEAR(Table1[[#This Row],[Enrollment_Date]])</f>
        <v>2025</v>
      </c>
      <c r="I184">
        <f>MONTH(Table1[[#This Row],[Enrollment_Date]])</f>
        <v>11</v>
      </c>
      <c r="J184" s="34">
        <f t="shared" si="2"/>
        <v>45980</v>
      </c>
    </row>
    <row r="185" spans="1:10">
      <c r="A185" t="s">
        <v>416</v>
      </c>
      <c r="B185" t="s">
        <v>90</v>
      </c>
      <c r="C185" t="s">
        <v>97</v>
      </c>
      <c r="D185" s="33">
        <v>45981</v>
      </c>
      <c r="E185" t="s">
        <v>102</v>
      </c>
      <c r="F185" s="5">
        <v>730.94</v>
      </c>
      <c r="G185" t="s">
        <v>148</v>
      </c>
      <c r="H185">
        <f>YEAR(Table1[[#This Row],[Enrollment_Date]])</f>
        <v>2025</v>
      </c>
      <c r="I185">
        <f>MONTH(Table1[[#This Row],[Enrollment_Date]])</f>
        <v>11</v>
      </c>
      <c r="J185" s="34">
        <f t="shared" si="2"/>
        <v>45981</v>
      </c>
    </row>
    <row r="186" spans="1:10">
      <c r="A186" t="s">
        <v>348</v>
      </c>
      <c r="B186" t="s">
        <v>90</v>
      </c>
      <c r="C186" t="s">
        <v>97</v>
      </c>
      <c r="D186" s="33">
        <v>45982</v>
      </c>
      <c r="E186" t="s">
        <v>92</v>
      </c>
      <c r="F186" s="5">
        <v>751.55</v>
      </c>
      <c r="G186" t="s">
        <v>107</v>
      </c>
      <c r="H186">
        <f>YEAR(Table1[[#This Row],[Enrollment_Date]])</f>
        <v>2025</v>
      </c>
      <c r="I186">
        <f>MONTH(Table1[[#This Row],[Enrollment_Date]])</f>
        <v>11</v>
      </c>
      <c r="J186" s="34">
        <f t="shared" si="2"/>
        <v>45982</v>
      </c>
    </row>
    <row r="187" spans="1:10">
      <c r="A187" t="s">
        <v>336</v>
      </c>
      <c r="B187" t="s">
        <v>100</v>
      </c>
      <c r="C187" t="s">
        <v>110</v>
      </c>
      <c r="D187" s="33">
        <v>45983</v>
      </c>
      <c r="E187" t="s">
        <v>102</v>
      </c>
      <c r="F187" s="5">
        <v>758.22</v>
      </c>
      <c r="G187" t="s">
        <v>148</v>
      </c>
      <c r="H187">
        <f>YEAR(Table1[[#This Row],[Enrollment_Date]])</f>
        <v>2025</v>
      </c>
      <c r="I187">
        <f>MONTH(Table1[[#This Row],[Enrollment_Date]])</f>
        <v>11</v>
      </c>
      <c r="J187" s="34">
        <f t="shared" si="2"/>
        <v>45983</v>
      </c>
    </row>
    <row r="188" spans="1:10">
      <c r="A188" t="s">
        <v>180</v>
      </c>
      <c r="B188" t="s">
        <v>90</v>
      </c>
      <c r="C188" t="s">
        <v>91</v>
      </c>
      <c r="D188" s="33">
        <v>45984</v>
      </c>
      <c r="E188" t="s">
        <v>92</v>
      </c>
      <c r="F188" s="5">
        <v>981.23</v>
      </c>
      <c r="G188" t="s">
        <v>107</v>
      </c>
      <c r="H188">
        <f>YEAR(Table1[[#This Row],[Enrollment_Date]])</f>
        <v>2025</v>
      </c>
      <c r="I188">
        <f>MONTH(Table1[[#This Row],[Enrollment_Date]])</f>
        <v>11</v>
      </c>
      <c r="J188" s="34">
        <f t="shared" si="2"/>
        <v>45984</v>
      </c>
    </row>
    <row r="189" spans="1:10">
      <c r="A189" t="s">
        <v>417</v>
      </c>
      <c r="B189" t="s">
        <v>100</v>
      </c>
      <c r="C189" t="s">
        <v>115</v>
      </c>
      <c r="D189" s="33">
        <v>45985</v>
      </c>
      <c r="E189" t="s">
        <v>102</v>
      </c>
      <c r="F189" s="5">
        <v>1206.44</v>
      </c>
      <c r="G189" t="s">
        <v>107</v>
      </c>
      <c r="H189">
        <f>YEAR(Table1[[#This Row],[Enrollment_Date]])</f>
        <v>2025</v>
      </c>
      <c r="I189">
        <f>MONTH(Table1[[#This Row],[Enrollment_Date]])</f>
        <v>11</v>
      </c>
      <c r="J189" s="34">
        <f t="shared" si="2"/>
        <v>45985</v>
      </c>
    </row>
    <row r="190" spans="1:10">
      <c r="A190" t="s">
        <v>388</v>
      </c>
      <c r="B190" t="s">
        <v>455</v>
      </c>
      <c r="C190" t="s">
        <v>95</v>
      </c>
      <c r="D190" s="33">
        <v>45986</v>
      </c>
      <c r="E190" t="s">
        <v>92</v>
      </c>
      <c r="F190" s="5">
        <v>1027.6300000000001</v>
      </c>
      <c r="G190" t="s">
        <v>93</v>
      </c>
      <c r="H190">
        <f>YEAR(Table1[[#This Row],[Enrollment_Date]])</f>
        <v>2025</v>
      </c>
      <c r="I190">
        <f>MONTH(Table1[[#This Row],[Enrollment_Date]])</f>
        <v>11</v>
      </c>
      <c r="J190" s="34">
        <f t="shared" si="2"/>
        <v>45986</v>
      </c>
    </row>
    <row r="191" spans="1:10">
      <c r="A191" t="s">
        <v>344</v>
      </c>
      <c r="B191" t="s">
        <v>100</v>
      </c>
      <c r="C191" t="s">
        <v>97</v>
      </c>
      <c r="D191" s="33">
        <v>45987</v>
      </c>
      <c r="E191" t="s">
        <v>116</v>
      </c>
      <c r="F191" s="5">
        <v>914.71</v>
      </c>
      <c r="G191" t="s">
        <v>93</v>
      </c>
      <c r="H191">
        <f>YEAR(Table1[[#This Row],[Enrollment_Date]])</f>
        <v>2025</v>
      </c>
      <c r="I191">
        <f>MONTH(Table1[[#This Row],[Enrollment_Date]])</f>
        <v>11</v>
      </c>
      <c r="J191" s="34">
        <f t="shared" si="2"/>
        <v>45987</v>
      </c>
    </row>
    <row r="192" spans="1:10">
      <c r="A192" t="s">
        <v>232</v>
      </c>
      <c r="B192" t="s">
        <v>100</v>
      </c>
      <c r="C192" t="s">
        <v>91</v>
      </c>
      <c r="D192" s="33">
        <v>45988</v>
      </c>
      <c r="E192" t="s">
        <v>92</v>
      </c>
      <c r="F192" s="5">
        <v>887.16</v>
      </c>
      <c r="G192" t="s">
        <v>107</v>
      </c>
      <c r="H192">
        <f>YEAR(Table1[[#This Row],[Enrollment_Date]])</f>
        <v>2025</v>
      </c>
      <c r="I192">
        <f>MONTH(Table1[[#This Row],[Enrollment_Date]])</f>
        <v>11</v>
      </c>
      <c r="J192" s="34">
        <f t="shared" si="2"/>
        <v>45988</v>
      </c>
    </row>
    <row r="193" spans="1:10">
      <c r="A193" t="s">
        <v>170</v>
      </c>
      <c r="B193" t="s">
        <v>100</v>
      </c>
      <c r="C193" t="s">
        <v>115</v>
      </c>
      <c r="D193" s="33">
        <v>45989</v>
      </c>
      <c r="E193" t="s">
        <v>92</v>
      </c>
      <c r="F193" s="5">
        <v>1149.3</v>
      </c>
      <c r="G193" t="s">
        <v>107</v>
      </c>
      <c r="H193">
        <f>YEAR(Table1[[#This Row],[Enrollment_Date]])</f>
        <v>2025</v>
      </c>
      <c r="I193">
        <f>MONTH(Table1[[#This Row],[Enrollment_Date]])</f>
        <v>11</v>
      </c>
      <c r="J193" s="34">
        <f t="shared" si="2"/>
        <v>45989</v>
      </c>
    </row>
    <row r="194" spans="1:10">
      <c r="A194" t="s">
        <v>326</v>
      </c>
      <c r="B194" t="s">
        <v>100</v>
      </c>
      <c r="C194" t="s">
        <v>115</v>
      </c>
      <c r="D194" s="33">
        <v>45990</v>
      </c>
      <c r="E194" t="s">
        <v>92</v>
      </c>
      <c r="F194" s="5">
        <v>1149.3</v>
      </c>
      <c r="G194" t="s">
        <v>107</v>
      </c>
      <c r="H194">
        <f>YEAR(Table1[[#This Row],[Enrollment_Date]])</f>
        <v>2025</v>
      </c>
      <c r="I194">
        <f>MONTH(Table1[[#This Row],[Enrollment_Date]])</f>
        <v>11</v>
      </c>
      <c r="J194" s="34">
        <f t="shared" si="2"/>
        <v>45990</v>
      </c>
    </row>
    <row r="195" spans="1:10">
      <c r="A195" t="s">
        <v>152</v>
      </c>
      <c r="B195" t="s">
        <v>100</v>
      </c>
      <c r="C195" t="s">
        <v>91</v>
      </c>
      <c r="D195" s="33">
        <v>45991</v>
      </c>
      <c r="E195" t="s">
        <v>92</v>
      </c>
      <c r="F195" s="5">
        <v>871.11</v>
      </c>
      <c r="G195" t="s">
        <v>93</v>
      </c>
      <c r="H195">
        <f>YEAR(Table1[[#This Row],[Enrollment_Date]])</f>
        <v>2025</v>
      </c>
      <c r="I195">
        <f>MONTH(Table1[[#This Row],[Enrollment_Date]])</f>
        <v>11</v>
      </c>
      <c r="J195" s="34">
        <f t="shared" ref="J195:J258" si="3">IF(ISNUMBER(D195),D195,"")</f>
        <v>45991</v>
      </c>
    </row>
    <row r="196" spans="1:10">
      <c r="A196" t="s">
        <v>272</v>
      </c>
      <c r="B196" t="s">
        <v>90</v>
      </c>
      <c r="C196" t="s">
        <v>456</v>
      </c>
      <c r="D196" s="33">
        <v>45992</v>
      </c>
      <c r="E196" t="s">
        <v>116</v>
      </c>
      <c r="F196" s="5">
        <v>874.56</v>
      </c>
      <c r="G196" t="s">
        <v>107</v>
      </c>
      <c r="H196">
        <f>YEAR(Table1[[#This Row],[Enrollment_Date]])</f>
        <v>2025</v>
      </c>
      <c r="I196">
        <f>MONTH(Table1[[#This Row],[Enrollment_Date]])</f>
        <v>12</v>
      </c>
      <c r="J196" s="34">
        <f t="shared" si="3"/>
        <v>45992</v>
      </c>
    </row>
    <row r="197" spans="1:10">
      <c r="A197" t="s">
        <v>357</v>
      </c>
      <c r="B197" t="s">
        <v>90</v>
      </c>
      <c r="C197" t="s">
        <v>91</v>
      </c>
      <c r="D197" s="33">
        <v>45993</v>
      </c>
      <c r="E197" t="s">
        <v>92</v>
      </c>
      <c r="F197" s="5">
        <v>1059.92</v>
      </c>
      <c r="G197" t="s">
        <v>93</v>
      </c>
      <c r="H197">
        <f>YEAR(Table1[[#This Row],[Enrollment_Date]])</f>
        <v>2025</v>
      </c>
      <c r="I197">
        <f>MONTH(Table1[[#This Row],[Enrollment_Date]])</f>
        <v>12</v>
      </c>
      <c r="J197" s="34">
        <f t="shared" si="3"/>
        <v>45993</v>
      </c>
    </row>
    <row r="198" spans="1:10">
      <c r="A198" t="s">
        <v>187</v>
      </c>
      <c r="B198" t="s">
        <v>100</v>
      </c>
      <c r="C198" t="s">
        <v>115</v>
      </c>
      <c r="D198" s="33">
        <v>45994</v>
      </c>
      <c r="E198" t="s">
        <v>102</v>
      </c>
      <c r="F198" s="5">
        <v>1044.45</v>
      </c>
      <c r="G198" t="s">
        <v>461</v>
      </c>
      <c r="H198">
        <f>YEAR(Table1[[#This Row],[Enrollment_Date]])</f>
        <v>2025</v>
      </c>
      <c r="I198">
        <f>MONTH(Table1[[#This Row],[Enrollment_Date]])</f>
        <v>12</v>
      </c>
      <c r="J198" s="34">
        <f t="shared" si="3"/>
        <v>45994</v>
      </c>
    </row>
    <row r="199" spans="1:10">
      <c r="A199" t="s">
        <v>418</v>
      </c>
      <c r="B199" t="s">
        <v>90</v>
      </c>
      <c r="C199" t="s">
        <v>101</v>
      </c>
      <c r="D199" s="33">
        <v>45995</v>
      </c>
      <c r="E199" t="s">
        <v>92</v>
      </c>
      <c r="F199" s="5">
        <v>1339.08</v>
      </c>
      <c r="G199" t="s">
        <v>107</v>
      </c>
      <c r="H199">
        <f>YEAR(Table1[[#This Row],[Enrollment_Date]])</f>
        <v>2025</v>
      </c>
      <c r="I199">
        <f>MONTH(Table1[[#This Row],[Enrollment_Date]])</f>
        <v>12</v>
      </c>
      <c r="J199" s="34">
        <f t="shared" si="3"/>
        <v>45995</v>
      </c>
    </row>
    <row r="200" spans="1:10">
      <c r="A200" t="s">
        <v>260</v>
      </c>
      <c r="B200" t="s">
        <v>90</v>
      </c>
      <c r="C200" t="s">
        <v>456</v>
      </c>
      <c r="D200" s="33">
        <v>45996</v>
      </c>
      <c r="E200" t="s">
        <v>102</v>
      </c>
      <c r="F200" s="5">
        <v>777.72</v>
      </c>
      <c r="G200" t="s">
        <v>93</v>
      </c>
      <c r="H200">
        <f>YEAR(Table1[[#This Row],[Enrollment_Date]])</f>
        <v>2025</v>
      </c>
      <c r="I200">
        <f>MONTH(Table1[[#This Row],[Enrollment_Date]])</f>
        <v>12</v>
      </c>
      <c r="J200" s="34">
        <f t="shared" si="3"/>
        <v>45996</v>
      </c>
    </row>
    <row r="201" spans="1:10">
      <c r="A201" t="s">
        <v>324</v>
      </c>
      <c r="B201" t="s">
        <v>100</v>
      </c>
      <c r="C201" t="s">
        <v>91</v>
      </c>
      <c r="D201" s="33">
        <v>45997</v>
      </c>
      <c r="E201" t="s">
        <v>92</v>
      </c>
      <c r="F201" s="5">
        <v>871.41</v>
      </c>
      <c r="G201" t="s">
        <v>107</v>
      </c>
      <c r="H201">
        <f>YEAR(Table1[[#This Row],[Enrollment_Date]])</f>
        <v>2025</v>
      </c>
      <c r="I201">
        <f>MONTH(Table1[[#This Row],[Enrollment_Date]])</f>
        <v>12</v>
      </c>
      <c r="J201" s="34">
        <f t="shared" si="3"/>
        <v>45997</v>
      </c>
    </row>
    <row r="202" spans="1:10">
      <c r="A202" t="s">
        <v>251</v>
      </c>
      <c r="B202" t="s">
        <v>90</v>
      </c>
      <c r="C202" t="s">
        <v>91</v>
      </c>
      <c r="D202" s="33">
        <v>45998</v>
      </c>
      <c r="E202" t="s">
        <v>116</v>
      </c>
      <c r="F202" s="5">
        <v>1018</v>
      </c>
      <c r="G202" t="s">
        <v>107</v>
      </c>
      <c r="H202">
        <f>YEAR(Table1[[#This Row],[Enrollment_Date]])</f>
        <v>2025</v>
      </c>
      <c r="I202">
        <f>MONTH(Table1[[#This Row],[Enrollment_Date]])</f>
        <v>12</v>
      </c>
      <c r="J202" s="34">
        <f t="shared" si="3"/>
        <v>45998</v>
      </c>
    </row>
    <row r="203" spans="1:10">
      <c r="A203" t="s">
        <v>315</v>
      </c>
      <c r="B203" t="s">
        <v>100</v>
      </c>
      <c r="C203" t="s">
        <v>110</v>
      </c>
      <c r="D203" s="33">
        <v>45999</v>
      </c>
      <c r="E203" t="s">
        <v>116</v>
      </c>
      <c r="F203" s="5">
        <v>761.42</v>
      </c>
      <c r="G203" t="s">
        <v>107</v>
      </c>
      <c r="H203">
        <f>YEAR(Table1[[#This Row],[Enrollment_Date]])</f>
        <v>2025</v>
      </c>
      <c r="I203">
        <f>MONTH(Table1[[#This Row],[Enrollment_Date]])</f>
        <v>12</v>
      </c>
      <c r="J203" s="34">
        <f t="shared" si="3"/>
        <v>45999</v>
      </c>
    </row>
    <row r="204" spans="1:10">
      <c r="A204" t="s">
        <v>212</v>
      </c>
      <c r="B204" t="s">
        <v>100</v>
      </c>
      <c r="C204" t="s">
        <v>91</v>
      </c>
      <c r="D204" s="33">
        <v>46000</v>
      </c>
      <c r="E204" t="s">
        <v>92</v>
      </c>
      <c r="F204" s="5">
        <v>0</v>
      </c>
      <c r="G204" t="s">
        <v>93</v>
      </c>
      <c r="H204">
        <f>YEAR(Table1[[#This Row],[Enrollment_Date]])</f>
        <v>2025</v>
      </c>
      <c r="I204">
        <f>MONTH(Table1[[#This Row],[Enrollment_Date]])</f>
        <v>12</v>
      </c>
      <c r="J204" s="34">
        <f t="shared" si="3"/>
        <v>46000</v>
      </c>
    </row>
    <row r="205" spans="1:10">
      <c r="A205" t="s">
        <v>273</v>
      </c>
      <c r="B205" t="s">
        <v>100</v>
      </c>
      <c r="C205" t="s">
        <v>97</v>
      </c>
      <c r="D205" s="33">
        <v>46001</v>
      </c>
      <c r="E205" t="s">
        <v>102</v>
      </c>
      <c r="F205" s="5">
        <v>764.29</v>
      </c>
      <c r="G205" t="s">
        <v>107</v>
      </c>
      <c r="H205">
        <f>YEAR(Table1[[#This Row],[Enrollment_Date]])</f>
        <v>2025</v>
      </c>
      <c r="I205">
        <f>MONTH(Table1[[#This Row],[Enrollment_Date]])</f>
        <v>12</v>
      </c>
      <c r="J205" s="34">
        <f t="shared" si="3"/>
        <v>46001</v>
      </c>
    </row>
    <row r="206" spans="1:10">
      <c r="A206" t="s">
        <v>278</v>
      </c>
      <c r="B206" t="s">
        <v>90</v>
      </c>
      <c r="C206" t="s">
        <v>110</v>
      </c>
      <c r="D206" s="33">
        <v>46002</v>
      </c>
      <c r="E206" t="s">
        <v>92</v>
      </c>
      <c r="F206" s="5">
        <v>709.26</v>
      </c>
      <c r="G206" t="s">
        <v>93</v>
      </c>
      <c r="H206">
        <f>YEAR(Table1[[#This Row],[Enrollment_Date]])</f>
        <v>2025</v>
      </c>
      <c r="I206">
        <f>MONTH(Table1[[#This Row],[Enrollment_Date]])</f>
        <v>12</v>
      </c>
      <c r="J206" s="34">
        <f t="shared" si="3"/>
        <v>46002</v>
      </c>
    </row>
    <row r="207" spans="1:10">
      <c r="A207" t="s">
        <v>209</v>
      </c>
      <c r="B207" t="s">
        <v>100</v>
      </c>
      <c r="C207" t="s">
        <v>110</v>
      </c>
      <c r="D207" s="33">
        <v>46003</v>
      </c>
      <c r="E207" t="s">
        <v>102</v>
      </c>
      <c r="F207" s="5">
        <v>750.28</v>
      </c>
      <c r="G207" t="s">
        <v>93</v>
      </c>
      <c r="H207">
        <f>YEAR(Table1[[#This Row],[Enrollment_Date]])</f>
        <v>2025</v>
      </c>
      <c r="I207">
        <f>MONTH(Table1[[#This Row],[Enrollment_Date]])</f>
        <v>12</v>
      </c>
      <c r="J207" s="34">
        <f t="shared" si="3"/>
        <v>46003</v>
      </c>
    </row>
    <row r="208" spans="1:10" hidden="1">
      <c r="A208" t="s">
        <v>338</v>
      </c>
      <c r="B208" t="s">
        <v>100</v>
      </c>
      <c r="C208" t="s">
        <v>91</v>
      </c>
      <c r="D208" s="4" t="s">
        <v>457</v>
      </c>
      <c r="E208" t="s">
        <v>92</v>
      </c>
      <c r="F208" s="5">
        <v>958</v>
      </c>
      <c r="G208" t="s">
        <v>107</v>
      </c>
      <c r="H208" t="e">
        <f>YEAR(Table1[[#This Row],[Enrollment_Date]])</f>
        <v>#VALUE!</v>
      </c>
      <c r="I208" t="e">
        <f>MONTH(Table1[[#This Row],[Enrollment_Date]])</f>
        <v>#VALUE!</v>
      </c>
      <c r="J208" s="34" t="str">
        <f t="shared" si="3"/>
        <v/>
      </c>
    </row>
    <row r="209" spans="1:10">
      <c r="A209" t="s">
        <v>224</v>
      </c>
      <c r="B209" t="s">
        <v>100</v>
      </c>
      <c r="C209" t="s">
        <v>95</v>
      </c>
      <c r="D209" s="33">
        <v>45830</v>
      </c>
      <c r="E209" t="s">
        <v>116</v>
      </c>
      <c r="F209" s="5">
        <v>933.95</v>
      </c>
      <c r="G209" t="s">
        <v>107</v>
      </c>
      <c r="H209">
        <f>YEAR(Table1[[#This Row],[Enrollment_Date]])</f>
        <v>2025</v>
      </c>
      <c r="I209">
        <f>MONTH(Table1[[#This Row],[Enrollment_Date]])</f>
        <v>6</v>
      </c>
      <c r="J209" s="34">
        <f t="shared" si="3"/>
        <v>45830</v>
      </c>
    </row>
    <row r="210" spans="1:10">
      <c r="A210" t="s">
        <v>307</v>
      </c>
      <c r="B210" t="s">
        <v>100</v>
      </c>
      <c r="C210" t="s">
        <v>115</v>
      </c>
      <c r="D210" s="33">
        <v>45831</v>
      </c>
      <c r="E210" t="s">
        <v>92</v>
      </c>
      <c r="F210" s="5">
        <v>1197.51</v>
      </c>
      <c r="G210" t="s">
        <v>93</v>
      </c>
      <c r="H210">
        <f>YEAR(Table1[[#This Row],[Enrollment_Date]])</f>
        <v>2025</v>
      </c>
      <c r="I210">
        <f>MONTH(Table1[[#This Row],[Enrollment_Date]])</f>
        <v>6</v>
      </c>
      <c r="J210" s="34">
        <f t="shared" si="3"/>
        <v>45831</v>
      </c>
    </row>
    <row r="211" spans="1:10">
      <c r="A211" t="s">
        <v>370</v>
      </c>
      <c r="B211" t="s">
        <v>90</v>
      </c>
      <c r="C211" t="s">
        <v>95</v>
      </c>
      <c r="D211" s="33">
        <v>45832</v>
      </c>
      <c r="E211" t="s">
        <v>92</v>
      </c>
      <c r="F211" s="5">
        <v>919.12</v>
      </c>
      <c r="G211" t="s">
        <v>107</v>
      </c>
      <c r="H211">
        <f>YEAR(Table1[[#This Row],[Enrollment_Date]])</f>
        <v>2025</v>
      </c>
      <c r="I211">
        <f>MONTH(Table1[[#This Row],[Enrollment_Date]])</f>
        <v>6</v>
      </c>
      <c r="J211" s="34">
        <f t="shared" si="3"/>
        <v>45832</v>
      </c>
    </row>
    <row r="212" spans="1:10">
      <c r="A212" t="s">
        <v>292</v>
      </c>
      <c r="B212" t="s">
        <v>90</v>
      </c>
      <c r="C212" t="s">
        <v>456</v>
      </c>
      <c r="D212" s="33">
        <v>45833</v>
      </c>
      <c r="E212" t="s">
        <v>102</v>
      </c>
      <c r="F212" s="5">
        <v>964.89</v>
      </c>
      <c r="G212" t="s">
        <v>107</v>
      </c>
      <c r="H212">
        <f>YEAR(Table1[[#This Row],[Enrollment_Date]])</f>
        <v>2025</v>
      </c>
      <c r="I212">
        <f>MONTH(Table1[[#This Row],[Enrollment_Date]])</f>
        <v>6</v>
      </c>
      <c r="J212" s="34">
        <f t="shared" si="3"/>
        <v>45833</v>
      </c>
    </row>
    <row r="213" spans="1:10">
      <c r="A213" t="s">
        <v>366</v>
      </c>
      <c r="B213" t="s">
        <v>100</v>
      </c>
      <c r="C213" t="s">
        <v>91</v>
      </c>
      <c r="D213" s="33">
        <v>45834</v>
      </c>
      <c r="E213" t="s">
        <v>102</v>
      </c>
      <c r="F213" s="5">
        <v>920.54</v>
      </c>
      <c r="G213" t="s">
        <v>107</v>
      </c>
      <c r="H213">
        <f>YEAR(Table1[[#This Row],[Enrollment_Date]])</f>
        <v>2025</v>
      </c>
      <c r="I213">
        <f>MONTH(Table1[[#This Row],[Enrollment_Date]])</f>
        <v>6</v>
      </c>
      <c r="J213" s="34">
        <f t="shared" si="3"/>
        <v>45834</v>
      </c>
    </row>
    <row r="214" spans="1:10">
      <c r="A214" t="s">
        <v>283</v>
      </c>
      <c r="B214" t="s">
        <v>100</v>
      </c>
      <c r="C214" t="s">
        <v>101</v>
      </c>
      <c r="D214" s="33">
        <v>45835</v>
      </c>
      <c r="E214" t="s">
        <v>92</v>
      </c>
      <c r="F214" s="5">
        <v>1262.8800000000001</v>
      </c>
      <c r="G214" t="s">
        <v>104</v>
      </c>
      <c r="H214">
        <f>YEAR(Table1[[#This Row],[Enrollment_Date]])</f>
        <v>2025</v>
      </c>
      <c r="I214">
        <f>MONTH(Table1[[#This Row],[Enrollment_Date]])</f>
        <v>6</v>
      </c>
      <c r="J214" s="34">
        <f t="shared" si="3"/>
        <v>45835</v>
      </c>
    </row>
    <row r="215" spans="1:10">
      <c r="A215" t="s">
        <v>215</v>
      </c>
      <c r="B215" t="s">
        <v>90</v>
      </c>
      <c r="C215" t="s">
        <v>101</v>
      </c>
      <c r="D215" s="33">
        <v>45836</v>
      </c>
      <c r="E215" t="s">
        <v>378</v>
      </c>
      <c r="F215" s="5">
        <v>1178.08</v>
      </c>
      <c r="G215" t="s">
        <v>107</v>
      </c>
      <c r="H215">
        <f>YEAR(Table1[[#This Row],[Enrollment_Date]])</f>
        <v>2025</v>
      </c>
      <c r="I215">
        <f>MONTH(Table1[[#This Row],[Enrollment_Date]])</f>
        <v>6</v>
      </c>
      <c r="J215" s="34">
        <f t="shared" si="3"/>
        <v>45836</v>
      </c>
    </row>
    <row r="216" spans="1:10">
      <c r="A216" t="s">
        <v>139</v>
      </c>
      <c r="B216" t="s">
        <v>90</v>
      </c>
      <c r="C216" t="s">
        <v>91</v>
      </c>
      <c r="D216" s="33">
        <v>45837</v>
      </c>
      <c r="E216" t="s">
        <v>116</v>
      </c>
      <c r="F216" s="5">
        <v>961.52</v>
      </c>
      <c r="G216" t="s">
        <v>107</v>
      </c>
      <c r="H216">
        <f>YEAR(Table1[[#This Row],[Enrollment_Date]])</f>
        <v>2025</v>
      </c>
      <c r="I216">
        <f>MONTH(Table1[[#This Row],[Enrollment_Date]])</f>
        <v>6</v>
      </c>
      <c r="J216" s="34">
        <f t="shared" si="3"/>
        <v>45837</v>
      </c>
    </row>
    <row r="217" spans="1:10">
      <c r="A217" t="s">
        <v>265</v>
      </c>
      <c r="B217" t="s">
        <v>100</v>
      </c>
      <c r="C217" t="s">
        <v>115</v>
      </c>
      <c r="D217" s="33">
        <v>45838</v>
      </c>
      <c r="E217" t="s">
        <v>116</v>
      </c>
      <c r="F217" s="5">
        <v>1039.18</v>
      </c>
      <c r="G217" t="s">
        <v>107</v>
      </c>
      <c r="H217">
        <f>YEAR(Table1[[#This Row],[Enrollment_Date]])</f>
        <v>2025</v>
      </c>
      <c r="I217">
        <f>MONTH(Table1[[#This Row],[Enrollment_Date]])</f>
        <v>6</v>
      </c>
      <c r="J217" s="34">
        <f t="shared" si="3"/>
        <v>45838</v>
      </c>
    </row>
    <row r="218" spans="1:10">
      <c r="A218" t="s">
        <v>269</v>
      </c>
      <c r="B218" t="s">
        <v>90</v>
      </c>
      <c r="C218" t="s">
        <v>101</v>
      </c>
      <c r="D218" s="33">
        <v>45839</v>
      </c>
      <c r="E218" t="s">
        <v>458</v>
      </c>
      <c r="F218" s="5">
        <v>1357.89</v>
      </c>
      <c r="G218" t="s">
        <v>93</v>
      </c>
      <c r="H218">
        <f>YEAR(Table1[[#This Row],[Enrollment_Date]])</f>
        <v>2025</v>
      </c>
      <c r="I218">
        <f>MONTH(Table1[[#This Row],[Enrollment_Date]])</f>
        <v>7</v>
      </c>
      <c r="J218" s="34">
        <f t="shared" si="3"/>
        <v>45839</v>
      </c>
    </row>
    <row r="219" spans="1:10">
      <c r="A219" t="s">
        <v>364</v>
      </c>
      <c r="B219" t="s">
        <v>100</v>
      </c>
      <c r="C219" t="s">
        <v>101</v>
      </c>
      <c r="D219" s="33">
        <v>45840</v>
      </c>
      <c r="E219" t="s">
        <v>92</v>
      </c>
      <c r="F219" s="5">
        <v>1098.67</v>
      </c>
      <c r="G219" t="s">
        <v>107</v>
      </c>
      <c r="H219">
        <f>YEAR(Table1[[#This Row],[Enrollment_Date]])</f>
        <v>2025</v>
      </c>
      <c r="I219">
        <f>MONTH(Table1[[#This Row],[Enrollment_Date]])</f>
        <v>7</v>
      </c>
      <c r="J219" s="34">
        <f t="shared" si="3"/>
        <v>45840</v>
      </c>
    </row>
    <row r="220" spans="1:10">
      <c r="A220" t="s">
        <v>355</v>
      </c>
      <c r="B220" t="s">
        <v>100</v>
      </c>
      <c r="C220" t="s">
        <v>115</v>
      </c>
      <c r="D220" s="33">
        <v>45841</v>
      </c>
      <c r="E220" t="s">
        <v>92</v>
      </c>
      <c r="F220" s="5">
        <v>1069.75</v>
      </c>
      <c r="G220" t="s">
        <v>107</v>
      </c>
      <c r="H220">
        <f>YEAR(Table1[[#This Row],[Enrollment_Date]])</f>
        <v>2025</v>
      </c>
      <c r="I220">
        <f>MONTH(Table1[[#This Row],[Enrollment_Date]])</f>
        <v>7</v>
      </c>
      <c r="J220" s="34">
        <f t="shared" si="3"/>
        <v>45841</v>
      </c>
    </row>
    <row r="221" spans="1:10">
      <c r="A221" t="s">
        <v>377</v>
      </c>
      <c r="B221" t="s">
        <v>455</v>
      </c>
      <c r="C221" t="s">
        <v>115</v>
      </c>
      <c r="D221" s="33">
        <v>45842</v>
      </c>
      <c r="E221" t="s">
        <v>116</v>
      </c>
      <c r="F221" s="5">
        <v>1228.17</v>
      </c>
      <c r="G221" t="s">
        <v>107</v>
      </c>
      <c r="H221">
        <f>YEAR(Table1[[#This Row],[Enrollment_Date]])</f>
        <v>2025</v>
      </c>
      <c r="I221">
        <f>MONTH(Table1[[#This Row],[Enrollment_Date]])</f>
        <v>7</v>
      </c>
      <c r="J221" s="34">
        <f t="shared" si="3"/>
        <v>45842</v>
      </c>
    </row>
    <row r="222" spans="1:10">
      <c r="A222" t="s">
        <v>183</v>
      </c>
      <c r="B222" t="s">
        <v>90</v>
      </c>
      <c r="C222" t="s">
        <v>97</v>
      </c>
      <c r="D222" s="33">
        <v>45843</v>
      </c>
      <c r="E222" t="s">
        <v>116</v>
      </c>
      <c r="F222" s="5">
        <v>905.56</v>
      </c>
      <c r="G222" t="s">
        <v>148</v>
      </c>
      <c r="H222">
        <f>YEAR(Table1[[#This Row],[Enrollment_Date]])</f>
        <v>2025</v>
      </c>
      <c r="I222">
        <f>MONTH(Table1[[#This Row],[Enrollment_Date]])</f>
        <v>7</v>
      </c>
      <c r="J222" s="34">
        <f t="shared" si="3"/>
        <v>45843</v>
      </c>
    </row>
    <row r="223" spans="1:10">
      <c r="A223" t="s">
        <v>114</v>
      </c>
      <c r="B223" t="s">
        <v>90</v>
      </c>
      <c r="C223" t="s">
        <v>91</v>
      </c>
      <c r="D223" s="33">
        <v>45844</v>
      </c>
      <c r="E223" t="s">
        <v>116</v>
      </c>
      <c r="F223" s="5">
        <v>929.94</v>
      </c>
      <c r="G223" t="s">
        <v>107</v>
      </c>
      <c r="H223">
        <f>YEAR(Table1[[#This Row],[Enrollment_Date]])</f>
        <v>2025</v>
      </c>
      <c r="I223">
        <f>MONTH(Table1[[#This Row],[Enrollment_Date]])</f>
        <v>7</v>
      </c>
      <c r="J223" s="34">
        <f t="shared" si="3"/>
        <v>45844</v>
      </c>
    </row>
    <row r="224" spans="1:10">
      <c r="A224" t="s">
        <v>246</v>
      </c>
      <c r="B224" t="s">
        <v>90</v>
      </c>
      <c r="C224" t="s">
        <v>91</v>
      </c>
      <c r="D224" s="33">
        <v>45845</v>
      </c>
      <c r="E224" t="s">
        <v>92</v>
      </c>
      <c r="F224" s="5">
        <v>1088.1400000000001</v>
      </c>
      <c r="G224" t="s">
        <v>107</v>
      </c>
      <c r="H224">
        <f>YEAR(Table1[[#This Row],[Enrollment_Date]])</f>
        <v>2025</v>
      </c>
      <c r="I224">
        <f>MONTH(Table1[[#This Row],[Enrollment_Date]])</f>
        <v>7</v>
      </c>
      <c r="J224" s="34">
        <f t="shared" si="3"/>
        <v>45845</v>
      </c>
    </row>
    <row r="225" spans="1:10">
      <c r="A225" t="s">
        <v>189</v>
      </c>
      <c r="B225" t="s">
        <v>90</v>
      </c>
      <c r="C225" t="s">
        <v>97</v>
      </c>
      <c r="D225" s="33">
        <v>45846</v>
      </c>
      <c r="E225" t="s">
        <v>458</v>
      </c>
      <c r="F225" s="5">
        <v>767.19</v>
      </c>
      <c r="G225" t="s">
        <v>93</v>
      </c>
      <c r="H225">
        <f>YEAR(Table1[[#This Row],[Enrollment_Date]])</f>
        <v>2025</v>
      </c>
      <c r="I225">
        <f>MONTH(Table1[[#This Row],[Enrollment_Date]])</f>
        <v>7</v>
      </c>
      <c r="J225" s="34">
        <f t="shared" si="3"/>
        <v>45846</v>
      </c>
    </row>
    <row r="226" spans="1:10">
      <c r="A226" t="s">
        <v>235</v>
      </c>
      <c r="B226" t="s">
        <v>100</v>
      </c>
      <c r="C226" t="s">
        <v>115</v>
      </c>
      <c r="D226" s="33">
        <v>45847</v>
      </c>
      <c r="E226" t="s">
        <v>92</v>
      </c>
      <c r="F226" s="5">
        <v>1022.73</v>
      </c>
      <c r="G226" t="s">
        <v>104</v>
      </c>
      <c r="H226">
        <f>YEAR(Table1[[#This Row],[Enrollment_Date]])</f>
        <v>2025</v>
      </c>
      <c r="I226">
        <f>MONTH(Table1[[#This Row],[Enrollment_Date]])</f>
        <v>7</v>
      </c>
      <c r="J226" s="34">
        <f t="shared" si="3"/>
        <v>45847</v>
      </c>
    </row>
    <row r="227" spans="1:10">
      <c r="A227" t="s">
        <v>193</v>
      </c>
      <c r="B227" t="s">
        <v>100</v>
      </c>
      <c r="C227" t="s">
        <v>91</v>
      </c>
      <c r="D227" s="33">
        <v>45848</v>
      </c>
      <c r="E227" t="s">
        <v>102</v>
      </c>
      <c r="F227" s="5">
        <v>0</v>
      </c>
      <c r="G227" t="s">
        <v>148</v>
      </c>
      <c r="H227">
        <f>YEAR(Table1[[#This Row],[Enrollment_Date]])</f>
        <v>2025</v>
      </c>
      <c r="I227">
        <f>MONTH(Table1[[#This Row],[Enrollment_Date]])</f>
        <v>7</v>
      </c>
      <c r="J227" s="34">
        <f t="shared" si="3"/>
        <v>45848</v>
      </c>
    </row>
    <row r="228" spans="1:10" hidden="1">
      <c r="A228" t="s">
        <v>394</v>
      </c>
      <c r="B228" t="s">
        <v>90</v>
      </c>
      <c r="C228" t="s">
        <v>91</v>
      </c>
      <c r="D228" s="4" t="s">
        <v>457</v>
      </c>
      <c r="E228" t="s">
        <v>116</v>
      </c>
      <c r="F228" s="5">
        <v>900.21</v>
      </c>
      <c r="G228" t="s">
        <v>93</v>
      </c>
      <c r="H228" t="e">
        <f>YEAR(Table1[[#This Row],[Enrollment_Date]])</f>
        <v>#VALUE!</v>
      </c>
      <c r="I228" t="e">
        <f>MONTH(Table1[[#This Row],[Enrollment_Date]])</f>
        <v>#VALUE!</v>
      </c>
      <c r="J228" s="34" t="str">
        <f t="shared" si="3"/>
        <v/>
      </c>
    </row>
    <row r="229" spans="1:10">
      <c r="A229" t="s">
        <v>271</v>
      </c>
      <c r="B229" t="s">
        <v>455</v>
      </c>
      <c r="C229" t="s">
        <v>97</v>
      </c>
      <c r="D229" s="33">
        <v>45825</v>
      </c>
      <c r="E229" t="s">
        <v>116</v>
      </c>
      <c r="F229" s="5">
        <v>799.37</v>
      </c>
      <c r="G229" t="s">
        <v>107</v>
      </c>
      <c r="H229">
        <f>YEAR(Table1[[#This Row],[Enrollment_Date]])</f>
        <v>2025</v>
      </c>
      <c r="I229">
        <f>MONTH(Table1[[#This Row],[Enrollment_Date]])</f>
        <v>6</v>
      </c>
      <c r="J229" s="34">
        <f t="shared" si="3"/>
        <v>45825</v>
      </c>
    </row>
    <row r="230" spans="1:10">
      <c r="A230" t="s">
        <v>159</v>
      </c>
      <c r="B230" t="s">
        <v>100</v>
      </c>
      <c r="C230" t="s">
        <v>115</v>
      </c>
      <c r="D230" s="33">
        <v>45826</v>
      </c>
      <c r="E230" t="s">
        <v>92</v>
      </c>
      <c r="F230" s="5">
        <v>1089.42</v>
      </c>
      <c r="G230" t="s">
        <v>93</v>
      </c>
      <c r="H230">
        <f>YEAR(Table1[[#This Row],[Enrollment_Date]])</f>
        <v>2025</v>
      </c>
      <c r="I230">
        <f>MONTH(Table1[[#This Row],[Enrollment_Date]])</f>
        <v>6</v>
      </c>
      <c r="J230" s="34">
        <f t="shared" si="3"/>
        <v>45826</v>
      </c>
    </row>
    <row r="231" spans="1:10">
      <c r="A231" t="s">
        <v>360</v>
      </c>
      <c r="B231" t="s">
        <v>100</v>
      </c>
      <c r="C231" t="s">
        <v>97</v>
      </c>
      <c r="D231" s="33">
        <v>45827</v>
      </c>
      <c r="E231" t="s">
        <v>92</v>
      </c>
      <c r="F231" s="5">
        <v>0</v>
      </c>
      <c r="G231" t="s">
        <v>148</v>
      </c>
      <c r="H231">
        <f>YEAR(Table1[[#This Row],[Enrollment_Date]])</f>
        <v>2025</v>
      </c>
      <c r="I231">
        <f>MONTH(Table1[[#This Row],[Enrollment_Date]])</f>
        <v>6</v>
      </c>
      <c r="J231" s="34">
        <f t="shared" si="3"/>
        <v>45827</v>
      </c>
    </row>
    <row r="232" spans="1:10">
      <c r="A232" t="s">
        <v>250</v>
      </c>
      <c r="B232" t="s">
        <v>100</v>
      </c>
      <c r="C232" t="s">
        <v>97</v>
      </c>
      <c r="D232" s="33">
        <v>45828</v>
      </c>
      <c r="E232" t="s">
        <v>102</v>
      </c>
      <c r="F232" s="5">
        <v>801.43</v>
      </c>
      <c r="G232" t="s">
        <v>107</v>
      </c>
      <c r="H232">
        <f>YEAR(Table1[[#This Row],[Enrollment_Date]])</f>
        <v>2025</v>
      </c>
      <c r="I232">
        <f>MONTH(Table1[[#This Row],[Enrollment_Date]])</f>
        <v>6</v>
      </c>
      <c r="J232" s="34">
        <f t="shared" si="3"/>
        <v>45828</v>
      </c>
    </row>
    <row r="233" spans="1:10">
      <c r="A233" t="s">
        <v>298</v>
      </c>
      <c r="B233" t="s">
        <v>100</v>
      </c>
      <c r="C233" t="s">
        <v>95</v>
      </c>
      <c r="D233" s="33">
        <v>45829</v>
      </c>
      <c r="E233" t="s">
        <v>92</v>
      </c>
      <c r="F233" s="5">
        <v>946.69</v>
      </c>
      <c r="G233" t="s">
        <v>107</v>
      </c>
      <c r="H233">
        <f>YEAR(Table1[[#This Row],[Enrollment_Date]])</f>
        <v>2025</v>
      </c>
      <c r="I233">
        <f>MONTH(Table1[[#This Row],[Enrollment_Date]])</f>
        <v>6</v>
      </c>
      <c r="J233" s="34">
        <f t="shared" si="3"/>
        <v>45829</v>
      </c>
    </row>
    <row r="234" spans="1:10">
      <c r="A234" t="s">
        <v>374</v>
      </c>
      <c r="B234" t="s">
        <v>90</v>
      </c>
      <c r="C234" t="s">
        <v>101</v>
      </c>
      <c r="D234" s="33">
        <v>45830</v>
      </c>
      <c r="E234" t="s">
        <v>92</v>
      </c>
      <c r="F234" s="5">
        <v>0</v>
      </c>
      <c r="G234" t="s">
        <v>107</v>
      </c>
      <c r="H234">
        <f>YEAR(Table1[[#This Row],[Enrollment_Date]])</f>
        <v>2025</v>
      </c>
      <c r="I234">
        <f>MONTH(Table1[[#This Row],[Enrollment_Date]])</f>
        <v>6</v>
      </c>
      <c r="J234" s="34">
        <f t="shared" si="3"/>
        <v>45830</v>
      </c>
    </row>
    <row r="235" spans="1:10">
      <c r="A235" t="s">
        <v>349</v>
      </c>
      <c r="B235" t="s">
        <v>90</v>
      </c>
      <c r="C235" t="s">
        <v>97</v>
      </c>
      <c r="D235" s="33">
        <v>45831</v>
      </c>
      <c r="E235" t="s">
        <v>458</v>
      </c>
      <c r="F235" s="5">
        <v>823.61</v>
      </c>
      <c r="G235" t="s">
        <v>93</v>
      </c>
      <c r="H235">
        <f>YEAR(Table1[[#This Row],[Enrollment_Date]])</f>
        <v>2025</v>
      </c>
      <c r="I235">
        <f>MONTH(Table1[[#This Row],[Enrollment_Date]])</f>
        <v>6</v>
      </c>
      <c r="J235" s="34">
        <f t="shared" si="3"/>
        <v>45831</v>
      </c>
    </row>
    <row r="236" spans="1:10">
      <c r="A236" t="s">
        <v>131</v>
      </c>
      <c r="B236" t="s">
        <v>90</v>
      </c>
      <c r="C236" t="s">
        <v>110</v>
      </c>
      <c r="D236" s="33">
        <v>45832</v>
      </c>
      <c r="E236" t="s">
        <v>92</v>
      </c>
      <c r="F236" s="5">
        <v>885.07</v>
      </c>
      <c r="G236" t="s">
        <v>107</v>
      </c>
      <c r="H236">
        <f>YEAR(Table1[[#This Row],[Enrollment_Date]])</f>
        <v>2025</v>
      </c>
      <c r="I236">
        <f>MONTH(Table1[[#This Row],[Enrollment_Date]])</f>
        <v>6</v>
      </c>
      <c r="J236" s="34">
        <f t="shared" si="3"/>
        <v>45832</v>
      </c>
    </row>
    <row r="237" spans="1:10">
      <c r="A237" t="s">
        <v>419</v>
      </c>
      <c r="B237" t="s">
        <v>455</v>
      </c>
      <c r="C237" t="s">
        <v>115</v>
      </c>
      <c r="D237" s="33">
        <v>45833</v>
      </c>
      <c r="E237" t="s">
        <v>458</v>
      </c>
      <c r="F237" s="5">
        <v>1126.1199999999999</v>
      </c>
      <c r="G237" t="s">
        <v>107</v>
      </c>
      <c r="H237">
        <f>YEAR(Table1[[#This Row],[Enrollment_Date]])</f>
        <v>2025</v>
      </c>
      <c r="I237">
        <f>MONTH(Table1[[#This Row],[Enrollment_Date]])</f>
        <v>6</v>
      </c>
      <c r="J237" s="34">
        <f t="shared" si="3"/>
        <v>45833</v>
      </c>
    </row>
    <row r="238" spans="1:10">
      <c r="A238" t="s">
        <v>211</v>
      </c>
      <c r="B238" t="s">
        <v>90</v>
      </c>
      <c r="C238" t="s">
        <v>97</v>
      </c>
      <c r="D238" s="33">
        <v>45834</v>
      </c>
      <c r="E238" t="s">
        <v>116</v>
      </c>
      <c r="F238" s="5">
        <v>835.71</v>
      </c>
      <c r="G238" t="s">
        <v>461</v>
      </c>
      <c r="H238">
        <f>YEAR(Table1[[#This Row],[Enrollment_Date]])</f>
        <v>2025</v>
      </c>
      <c r="I238">
        <f>MONTH(Table1[[#This Row],[Enrollment_Date]])</f>
        <v>6</v>
      </c>
      <c r="J238" s="34">
        <f t="shared" si="3"/>
        <v>45834</v>
      </c>
    </row>
    <row r="239" spans="1:10">
      <c r="A239" t="s">
        <v>258</v>
      </c>
      <c r="B239" t="s">
        <v>100</v>
      </c>
      <c r="C239" t="s">
        <v>115</v>
      </c>
      <c r="D239" s="33">
        <v>45835</v>
      </c>
      <c r="E239" t="s">
        <v>116</v>
      </c>
      <c r="F239" s="5">
        <v>1257.3800000000001</v>
      </c>
      <c r="G239" t="s">
        <v>107</v>
      </c>
      <c r="H239">
        <f>YEAR(Table1[[#This Row],[Enrollment_Date]])</f>
        <v>2025</v>
      </c>
      <c r="I239">
        <f>MONTH(Table1[[#This Row],[Enrollment_Date]])</f>
        <v>6</v>
      </c>
      <c r="J239" s="34">
        <f t="shared" si="3"/>
        <v>45835</v>
      </c>
    </row>
    <row r="240" spans="1:10">
      <c r="A240" t="s">
        <v>320</v>
      </c>
      <c r="B240" t="s">
        <v>90</v>
      </c>
      <c r="C240" t="s">
        <v>91</v>
      </c>
      <c r="D240" s="33">
        <v>45836</v>
      </c>
      <c r="E240" t="s">
        <v>102</v>
      </c>
      <c r="F240" s="5">
        <v>1014.19</v>
      </c>
      <c r="G240" t="s">
        <v>107</v>
      </c>
      <c r="H240">
        <f>YEAR(Table1[[#This Row],[Enrollment_Date]])</f>
        <v>2025</v>
      </c>
      <c r="I240">
        <f>MONTH(Table1[[#This Row],[Enrollment_Date]])</f>
        <v>6</v>
      </c>
      <c r="J240" s="34">
        <f t="shared" si="3"/>
        <v>45836</v>
      </c>
    </row>
    <row r="241" spans="1:10">
      <c r="A241" t="s">
        <v>207</v>
      </c>
      <c r="B241" t="s">
        <v>455</v>
      </c>
      <c r="C241" t="s">
        <v>101</v>
      </c>
      <c r="D241" s="33">
        <v>45837</v>
      </c>
      <c r="E241" t="s">
        <v>92</v>
      </c>
      <c r="F241" s="5">
        <v>1339.88</v>
      </c>
      <c r="G241" t="s">
        <v>93</v>
      </c>
      <c r="H241">
        <f>YEAR(Table1[[#This Row],[Enrollment_Date]])</f>
        <v>2025</v>
      </c>
      <c r="I241">
        <f>MONTH(Table1[[#This Row],[Enrollment_Date]])</f>
        <v>6</v>
      </c>
      <c r="J241" s="34">
        <f t="shared" si="3"/>
        <v>45837</v>
      </c>
    </row>
    <row r="242" spans="1:10">
      <c r="A242" t="s">
        <v>96</v>
      </c>
      <c r="B242" t="s">
        <v>90</v>
      </c>
      <c r="C242" t="s">
        <v>97</v>
      </c>
      <c r="D242" s="33">
        <v>45838</v>
      </c>
      <c r="E242" t="s">
        <v>92</v>
      </c>
      <c r="F242" s="5">
        <v>875.13</v>
      </c>
      <c r="G242" t="s">
        <v>107</v>
      </c>
      <c r="H242">
        <f>YEAR(Table1[[#This Row],[Enrollment_Date]])</f>
        <v>2025</v>
      </c>
      <c r="I242">
        <f>MONTH(Table1[[#This Row],[Enrollment_Date]])</f>
        <v>6</v>
      </c>
      <c r="J242" s="34">
        <f t="shared" si="3"/>
        <v>45838</v>
      </c>
    </row>
    <row r="243" spans="1:10">
      <c r="A243" t="s">
        <v>365</v>
      </c>
      <c r="B243" t="s">
        <v>100</v>
      </c>
      <c r="C243" t="s">
        <v>456</v>
      </c>
      <c r="D243" s="33">
        <v>45839</v>
      </c>
      <c r="E243" t="s">
        <v>92</v>
      </c>
      <c r="F243" s="5">
        <v>1180.3</v>
      </c>
      <c r="G243" t="s">
        <v>107</v>
      </c>
      <c r="H243">
        <f>YEAR(Table1[[#This Row],[Enrollment_Date]])</f>
        <v>2025</v>
      </c>
      <c r="I243">
        <f>MONTH(Table1[[#This Row],[Enrollment_Date]])</f>
        <v>7</v>
      </c>
      <c r="J243" s="34">
        <f t="shared" si="3"/>
        <v>45839</v>
      </c>
    </row>
    <row r="244" spans="1:10">
      <c r="A244" t="s">
        <v>135</v>
      </c>
      <c r="B244" t="s">
        <v>90</v>
      </c>
      <c r="C244" t="s">
        <v>110</v>
      </c>
      <c r="D244" s="33">
        <v>45840</v>
      </c>
      <c r="E244" t="s">
        <v>92</v>
      </c>
      <c r="F244" s="5">
        <v>816.86</v>
      </c>
      <c r="G244" t="s">
        <v>107</v>
      </c>
      <c r="H244">
        <f>YEAR(Table1[[#This Row],[Enrollment_Date]])</f>
        <v>2025</v>
      </c>
      <c r="I244">
        <f>MONTH(Table1[[#This Row],[Enrollment_Date]])</f>
        <v>7</v>
      </c>
      <c r="J244" s="34">
        <f t="shared" si="3"/>
        <v>45840</v>
      </c>
    </row>
    <row r="245" spans="1:10">
      <c r="A245" t="s">
        <v>291</v>
      </c>
      <c r="B245" t="s">
        <v>90</v>
      </c>
      <c r="C245" t="s">
        <v>91</v>
      </c>
      <c r="D245" s="33">
        <v>45841</v>
      </c>
      <c r="E245" t="s">
        <v>92</v>
      </c>
      <c r="F245" s="5">
        <v>988.35</v>
      </c>
      <c r="G245" t="s">
        <v>107</v>
      </c>
      <c r="H245">
        <f>YEAR(Table1[[#This Row],[Enrollment_Date]])</f>
        <v>2025</v>
      </c>
      <c r="I245">
        <f>MONTH(Table1[[#This Row],[Enrollment_Date]])</f>
        <v>7</v>
      </c>
      <c r="J245" s="34">
        <f t="shared" si="3"/>
        <v>45841</v>
      </c>
    </row>
    <row r="246" spans="1:10">
      <c r="A246" t="s">
        <v>297</v>
      </c>
      <c r="B246" t="s">
        <v>90</v>
      </c>
      <c r="C246" t="s">
        <v>115</v>
      </c>
      <c r="D246" s="33">
        <v>45842</v>
      </c>
      <c r="E246" t="s">
        <v>102</v>
      </c>
      <c r="F246" s="5">
        <v>0</v>
      </c>
      <c r="G246" t="s">
        <v>107</v>
      </c>
      <c r="H246">
        <f>YEAR(Table1[[#This Row],[Enrollment_Date]])</f>
        <v>2025</v>
      </c>
      <c r="I246">
        <f>MONTH(Table1[[#This Row],[Enrollment_Date]])</f>
        <v>7</v>
      </c>
      <c r="J246" s="34">
        <f t="shared" si="3"/>
        <v>45842</v>
      </c>
    </row>
    <row r="247" spans="1:10">
      <c r="A247" t="s">
        <v>392</v>
      </c>
      <c r="B247" t="s">
        <v>90</v>
      </c>
      <c r="C247" t="s">
        <v>101</v>
      </c>
      <c r="D247" s="33">
        <v>45843</v>
      </c>
      <c r="E247" t="s">
        <v>92</v>
      </c>
      <c r="F247" s="5">
        <v>1155.3800000000001</v>
      </c>
      <c r="G247" t="s">
        <v>107</v>
      </c>
      <c r="H247">
        <f>YEAR(Table1[[#This Row],[Enrollment_Date]])</f>
        <v>2025</v>
      </c>
      <c r="I247">
        <f>MONTH(Table1[[#This Row],[Enrollment_Date]])</f>
        <v>7</v>
      </c>
      <c r="J247" s="34">
        <f t="shared" si="3"/>
        <v>45843</v>
      </c>
    </row>
    <row r="248" spans="1:10">
      <c r="A248" t="s">
        <v>105</v>
      </c>
      <c r="B248" t="s">
        <v>90</v>
      </c>
      <c r="C248" t="s">
        <v>456</v>
      </c>
      <c r="D248" s="33">
        <v>45844</v>
      </c>
      <c r="E248" t="s">
        <v>92</v>
      </c>
      <c r="F248" s="5">
        <v>974.04</v>
      </c>
      <c r="G248" t="s">
        <v>107</v>
      </c>
      <c r="H248">
        <f>YEAR(Table1[[#This Row],[Enrollment_Date]])</f>
        <v>2025</v>
      </c>
      <c r="I248">
        <f>MONTH(Table1[[#This Row],[Enrollment_Date]])</f>
        <v>7</v>
      </c>
      <c r="J248" s="34">
        <f t="shared" si="3"/>
        <v>45844</v>
      </c>
    </row>
    <row r="249" spans="1:10">
      <c r="A249" t="s">
        <v>151</v>
      </c>
      <c r="B249" t="s">
        <v>100</v>
      </c>
      <c r="C249" t="s">
        <v>101</v>
      </c>
      <c r="D249" s="33">
        <v>45845</v>
      </c>
      <c r="E249" t="s">
        <v>92</v>
      </c>
      <c r="F249" s="5">
        <v>1374.35</v>
      </c>
      <c r="G249" t="s">
        <v>461</v>
      </c>
      <c r="H249">
        <f>YEAR(Table1[[#This Row],[Enrollment_Date]])</f>
        <v>2025</v>
      </c>
      <c r="I249">
        <f>MONTH(Table1[[#This Row],[Enrollment_Date]])</f>
        <v>7</v>
      </c>
      <c r="J249" s="34">
        <f t="shared" si="3"/>
        <v>45845</v>
      </c>
    </row>
    <row r="250" spans="1:10">
      <c r="A250" t="s">
        <v>240</v>
      </c>
      <c r="B250" t="s">
        <v>90</v>
      </c>
      <c r="C250" t="s">
        <v>101</v>
      </c>
      <c r="D250" s="33">
        <v>45846</v>
      </c>
      <c r="E250" t="s">
        <v>92</v>
      </c>
      <c r="F250" s="5">
        <v>1332.91</v>
      </c>
      <c r="G250" t="s">
        <v>107</v>
      </c>
      <c r="H250">
        <f>YEAR(Table1[[#This Row],[Enrollment_Date]])</f>
        <v>2025</v>
      </c>
      <c r="I250">
        <f>MONTH(Table1[[#This Row],[Enrollment_Date]])</f>
        <v>7</v>
      </c>
      <c r="J250" s="34">
        <f t="shared" si="3"/>
        <v>45846</v>
      </c>
    </row>
    <row r="251" spans="1:10">
      <c r="A251" t="s">
        <v>228</v>
      </c>
      <c r="B251" t="s">
        <v>90</v>
      </c>
      <c r="C251" t="s">
        <v>101</v>
      </c>
      <c r="D251" s="33">
        <v>45847</v>
      </c>
      <c r="E251" t="s">
        <v>92</v>
      </c>
      <c r="F251" s="5">
        <v>1332.91</v>
      </c>
      <c r="G251" t="s">
        <v>107</v>
      </c>
      <c r="H251">
        <f>YEAR(Table1[[#This Row],[Enrollment_Date]])</f>
        <v>2025</v>
      </c>
      <c r="I251">
        <f>MONTH(Table1[[#This Row],[Enrollment_Date]])</f>
        <v>7</v>
      </c>
      <c r="J251" s="34">
        <f t="shared" si="3"/>
        <v>45847</v>
      </c>
    </row>
    <row r="252" spans="1:10">
      <c r="A252" t="s">
        <v>238</v>
      </c>
      <c r="B252" t="s">
        <v>100</v>
      </c>
      <c r="C252" t="s">
        <v>115</v>
      </c>
      <c r="D252" s="33">
        <v>45848</v>
      </c>
      <c r="E252" t="s">
        <v>102</v>
      </c>
      <c r="F252" s="5">
        <v>1185.1400000000001</v>
      </c>
      <c r="G252" t="s">
        <v>93</v>
      </c>
      <c r="H252">
        <f>YEAR(Table1[[#This Row],[Enrollment_Date]])</f>
        <v>2025</v>
      </c>
      <c r="I252">
        <f>MONTH(Table1[[#This Row],[Enrollment_Date]])</f>
        <v>7</v>
      </c>
      <c r="J252" s="34">
        <f t="shared" si="3"/>
        <v>45848</v>
      </c>
    </row>
    <row r="253" spans="1:10">
      <c r="A253" t="s">
        <v>214</v>
      </c>
      <c r="B253" t="s">
        <v>90</v>
      </c>
      <c r="C253" t="s">
        <v>456</v>
      </c>
      <c r="D253" s="33">
        <v>45849</v>
      </c>
      <c r="E253" t="s">
        <v>92</v>
      </c>
      <c r="F253" s="5">
        <v>1379.03</v>
      </c>
      <c r="G253" t="s">
        <v>107</v>
      </c>
      <c r="H253">
        <f>YEAR(Table1[[#This Row],[Enrollment_Date]])</f>
        <v>2025</v>
      </c>
      <c r="I253">
        <f>MONTH(Table1[[#This Row],[Enrollment_Date]])</f>
        <v>7</v>
      </c>
      <c r="J253" s="34">
        <f t="shared" si="3"/>
        <v>45849</v>
      </c>
    </row>
    <row r="254" spans="1:10">
      <c r="A254" t="s">
        <v>130</v>
      </c>
      <c r="B254" t="s">
        <v>90</v>
      </c>
      <c r="C254" t="s">
        <v>456</v>
      </c>
      <c r="D254" s="33">
        <v>45850</v>
      </c>
      <c r="E254" t="s">
        <v>116</v>
      </c>
      <c r="F254" s="5">
        <v>1274.06</v>
      </c>
      <c r="G254" t="s">
        <v>107</v>
      </c>
      <c r="H254">
        <f>YEAR(Table1[[#This Row],[Enrollment_Date]])</f>
        <v>2025</v>
      </c>
      <c r="I254">
        <f>MONTH(Table1[[#This Row],[Enrollment_Date]])</f>
        <v>7</v>
      </c>
      <c r="J254" s="34">
        <f t="shared" si="3"/>
        <v>45850</v>
      </c>
    </row>
    <row r="255" spans="1:10">
      <c r="A255" t="s">
        <v>126</v>
      </c>
      <c r="B255" t="s">
        <v>122</v>
      </c>
      <c r="C255" t="s">
        <v>97</v>
      </c>
      <c r="D255" s="33">
        <v>45851</v>
      </c>
      <c r="E255" t="s">
        <v>92</v>
      </c>
      <c r="F255" s="5">
        <v>774.58</v>
      </c>
      <c r="G255" t="s">
        <v>104</v>
      </c>
      <c r="H255">
        <f>YEAR(Table1[[#This Row],[Enrollment_Date]])</f>
        <v>2025</v>
      </c>
      <c r="I255">
        <f>MONTH(Table1[[#This Row],[Enrollment_Date]])</f>
        <v>7</v>
      </c>
      <c r="J255" s="34">
        <f t="shared" si="3"/>
        <v>45851</v>
      </c>
    </row>
    <row r="256" spans="1:10">
      <c r="A256" t="s">
        <v>381</v>
      </c>
      <c r="B256" t="s">
        <v>90</v>
      </c>
      <c r="C256" t="s">
        <v>91</v>
      </c>
      <c r="D256" s="33">
        <v>45852</v>
      </c>
      <c r="E256" t="s">
        <v>116</v>
      </c>
      <c r="F256" s="5">
        <v>971.14</v>
      </c>
      <c r="G256" t="s">
        <v>148</v>
      </c>
      <c r="H256">
        <f>YEAR(Table1[[#This Row],[Enrollment_Date]])</f>
        <v>2025</v>
      </c>
      <c r="I256">
        <f>MONTH(Table1[[#This Row],[Enrollment_Date]])</f>
        <v>7</v>
      </c>
      <c r="J256" s="34">
        <f t="shared" si="3"/>
        <v>45852</v>
      </c>
    </row>
    <row r="257" spans="1:10" hidden="1">
      <c r="A257" t="s">
        <v>127</v>
      </c>
      <c r="B257" t="s">
        <v>90</v>
      </c>
      <c r="C257" t="s">
        <v>115</v>
      </c>
      <c r="D257" s="4" t="s">
        <v>457</v>
      </c>
      <c r="E257" t="s">
        <v>92</v>
      </c>
      <c r="F257" s="5">
        <v>1230.78</v>
      </c>
      <c r="G257" t="s">
        <v>107</v>
      </c>
      <c r="H257" t="e">
        <f>YEAR(Table1[[#This Row],[Enrollment_Date]])</f>
        <v>#VALUE!</v>
      </c>
      <c r="I257" t="e">
        <f>MONTH(Table1[[#This Row],[Enrollment_Date]])</f>
        <v>#VALUE!</v>
      </c>
      <c r="J257" s="34" t="str">
        <f t="shared" si="3"/>
        <v/>
      </c>
    </row>
    <row r="258" spans="1:10">
      <c r="A258" t="s">
        <v>216</v>
      </c>
      <c r="B258" t="s">
        <v>100</v>
      </c>
      <c r="C258" t="s">
        <v>95</v>
      </c>
      <c r="D258" s="33">
        <v>46156</v>
      </c>
      <c r="E258" t="s">
        <v>92</v>
      </c>
      <c r="F258" s="5">
        <v>817.62</v>
      </c>
      <c r="G258" t="s">
        <v>107</v>
      </c>
      <c r="H258">
        <f>YEAR(Table1[[#This Row],[Enrollment_Date]])</f>
        <v>2026</v>
      </c>
      <c r="I258">
        <f>MONTH(Table1[[#This Row],[Enrollment_Date]])</f>
        <v>5</v>
      </c>
      <c r="J258" s="34">
        <f t="shared" si="3"/>
        <v>46156</v>
      </c>
    </row>
    <row r="259" spans="1:10">
      <c r="A259" t="s">
        <v>203</v>
      </c>
      <c r="B259" t="s">
        <v>100</v>
      </c>
      <c r="C259" t="s">
        <v>115</v>
      </c>
      <c r="D259" s="33">
        <v>46157</v>
      </c>
      <c r="E259" t="s">
        <v>116</v>
      </c>
      <c r="F259" s="5">
        <v>1064.78</v>
      </c>
      <c r="G259" t="s">
        <v>461</v>
      </c>
      <c r="H259">
        <f>YEAR(Table1[[#This Row],[Enrollment_Date]])</f>
        <v>2026</v>
      </c>
      <c r="I259">
        <f>MONTH(Table1[[#This Row],[Enrollment_Date]])</f>
        <v>5</v>
      </c>
      <c r="J259" s="34">
        <f t="shared" ref="J259:J301" si="4">IF(ISNUMBER(D259),D259,"")</f>
        <v>46157</v>
      </c>
    </row>
    <row r="260" spans="1:10">
      <c r="A260" t="s">
        <v>358</v>
      </c>
      <c r="B260" t="s">
        <v>90</v>
      </c>
      <c r="C260" t="s">
        <v>456</v>
      </c>
      <c r="D260" s="33">
        <v>46158</v>
      </c>
      <c r="E260" t="s">
        <v>92</v>
      </c>
      <c r="F260" s="5">
        <v>720.97</v>
      </c>
      <c r="G260" t="s">
        <v>107</v>
      </c>
      <c r="H260">
        <f>YEAR(Table1[[#This Row],[Enrollment_Date]])</f>
        <v>2026</v>
      </c>
      <c r="I260">
        <f>MONTH(Table1[[#This Row],[Enrollment_Date]])</f>
        <v>5</v>
      </c>
      <c r="J260" s="34">
        <f t="shared" si="4"/>
        <v>46158</v>
      </c>
    </row>
    <row r="261" spans="1:10">
      <c r="A261" t="s">
        <v>121</v>
      </c>
      <c r="B261" t="s">
        <v>90</v>
      </c>
      <c r="C261" t="s">
        <v>101</v>
      </c>
      <c r="D261" s="33">
        <v>46159</v>
      </c>
      <c r="E261" t="s">
        <v>102</v>
      </c>
      <c r="F261" s="5">
        <v>1261</v>
      </c>
      <c r="G261" t="s">
        <v>461</v>
      </c>
      <c r="H261">
        <f>YEAR(Table1[[#This Row],[Enrollment_Date]])</f>
        <v>2026</v>
      </c>
      <c r="I261">
        <f>MONTH(Table1[[#This Row],[Enrollment_Date]])</f>
        <v>5</v>
      </c>
      <c r="J261" s="34">
        <f t="shared" si="4"/>
        <v>46159</v>
      </c>
    </row>
    <row r="262" spans="1:10">
      <c r="A262" t="s">
        <v>332</v>
      </c>
      <c r="B262" t="s">
        <v>90</v>
      </c>
      <c r="C262" t="s">
        <v>110</v>
      </c>
      <c r="D262" s="33">
        <v>46160</v>
      </c>
      <c r="E262" t="s">
        <v>102</v>
      </c>
      <c r="F262" s="5">
        <v>0</v>
      </c>
      <c r="G262" t="s">
        <v>107</v>
      </c>
      <c r="H262">
        <f>YEAR(Table1[[#This Row],[Enrollment_Date]])</f>
        <v>2026</v>
      </c>
      <c r="I262">
        <f>MONTH(Table1[[#This Row],[Enrollment_Date]])</f>
        <v>5</v>
      </c>
      <c r="J262" s="34">
        <f t="shared" si="4"/>
        <v>46160</v>
      </c>
    </row>
    <row r="263" spans="1:10">
      <c r="A263" t="s">
        <v>166</v>
      </c>
      <c r="B263" t="s">
        <v>90</v>
      </c>
      <c r="C263" t="s">
        <v>101</v>
      </c>
      <c r="D263" s="33">
        <v>46161</v>
      </c>
      <c r="E263" t="s">
        <v>458</v>
      </c>
      <c r="F263" s="5">
        <v>1127.96</v>
      </c>
      <c r="G263" t="s">
        <v>104</v>
      </c>
      <c r="H263">
        <f>YEAR(Table1[[#This Row],[Enrollment_Date]])</f>
        <v>2026</v>
      </c>
      <c r="I263">
        <f>MONTH(Table1[[#This Row],[Enrollment_Date]])</f>
        <v>5</v>
      </c>
      <c r="J263" s="34">
        <f t="shared" si="4"/>
        <v>46161</v>
      </c>
    </row>
    <row r="264" spans="1:10">
      <c r="A264" t="s">
        <v>321</v>
      </c>
      <c r="B264" t="s">
        <v>90</v>
      </c>
      <c r="C264" t="s">
        <v>97</v>
      </c>
      <c r="D264" s="33">
        <v>46162</v>
      </c>
      <c r="E264" t="s">
        <v>116</v>
      </c>
      <c r="F264" s="5">
        <v>860.03</v>
      </c>
      <c r="G264" t="s">
        <v>107</v>
      </c>
      <c r="H264">
        <f>YEAR(Table1[[#This Row],[Enrollment_Date]])</f>
        <v>2026</v>
      </c>
      <c r="I264">
        <f>MONTH(Table1[[#This Row],[Enrollment_Date]])</f>
        <v>5</v>
      </c>
      <c r="J264" s="34">
        <f t="shared" si="4"/>
        <v>46162</v>
      </c>
    </row>
    <row r="265" spans="1:10">
      <c r="A265" t="s">
        <v>302</v>
      </c>
      <c r="B265" t="s">
        <v>90</v>
      </c>
      <c r="C265" t="s">
        <v>115</v>
      </c>
      <c r="D265" s="33">
        <v>46163</v>
      </c>
      <c r="E265" t="s">
        <v>92</v>
      </c>
      <c r="F265" s="5">
        <v>1218.96</v>
      </c>
      <c r="G265" t="s">
        <v>93</v>
      </c>
      <c r="H265">
        <f>YEAR(Table1[[#This Row],[Enrollment_Date]])</f>
        <v>2026</v>
      </c>
      <c r="I265">
        <f>MONTH(Table1[[#This Row],[Enrollment_Date]])</f>
        <v>5</v>
      </c>
      <c r="J265" s="34">
        <f t="shared" si="4"/>
        <v>46163</v>
      </c>
    </row>
    <row r="266" spans="1:10">
      <c r="A266" t="s">
        <v>210</v>
      </c>
      <c r="B266" t="s">
        <v>90</v>
      </c>
      <c r="C266" t="s">
        <v>91</v>
      </c>
      <c r="D266" s="33">
        <v>46164</v>
      </c>
      <c r="E266" t="s">
        <v>116</v>
      </c>
      <c r="F266" s="5">
        <v>900.67</v>
      </c>
      <c r="G266" t="s">
        <v>107</v>
      </c>
      <c r="H266">
        <f>YEAR(Table1[[#This Row],[Enrollment_Date]])</f>
        <v>2026</v>
      </c>
      <c r="I266">
        <f>MONTH(Table1[[#This Row],[Enrollment_Date]])</f>
        <v>5</v>
      </c>
      <c r="J266" s="34">
        <f t="shared" si="4"/>
        <v>46164</v>
      </c>
    </row>
    <row r="267" spans="1:10">
      <c r="A267" t="s">
        <v>168</v>
      </c>
      <c r="B267" t="s">
        <v>100</v>
      </c>
      <c r="C267" t="s">
        <v>91</v>
      </c>
      <c r="D267" s="33">
        <v>46165</v>
      </c>
      <c r="E267" t="s">
        <v>92</v>
      </c>
      <c r="F267" s="5">
        <v>872.09</v>
      </c>
      <c r="G267" t="s">
        <v>148</v>
      </c>
      <c r="H267">
        <f>YEAR(Table1[[#This Row],[Enrollment_Date]])</f>
        <v>2026</v>
      </c>
      <c r="I267">
        <f>MONTH(Table1[[#This Row],[Enrollment_Date]])</f>
        <v>5</v>
      </c>
      <c r="J267" s="34">
        <f t="shared" si="4"/>
        <v>46165</v>
      </c>
    </row>
    <row r="268" spans="1:10" hidden="1">
      <c r="A268" t="s">
        <v>327</v>
      </c>
      <c r="B268" t="s">
        <v>90</v>
      </c>
      <c r="C268" t="s">
        <v>101</v>
      </c>
      <c r="D268" s="4" t="s">
        <v>457</v>
      </c>
      <c r="E268" t="s">
        <v>102</v>
      </c>
      <c r="F268" s="5">
        <v>1211.08</v>
      </c>
      <c r="G268" t="s">
        <v>93</v>
      </c>
      <c r="H268" t="e">
        <f>YEAR(Table1[[#This Row],[Enrollment_Date]])</f>
        <v>#VALUE!</v>
      </c>
      <c r="I268" t="e">
        <f>MONTH(Table1[[#This Row],[Enrollment_Date]])</f>
        <v>#VALUE!</v>
      </c>
      <c r="J268" s="34" t="str">
        <f t="shared" si="4"/>
        <v/>
      </c>
    </row>
    <row r="269" spans="1:10">
      <c r="A269" t="s">
        <v>328</v>
      </c>
      <c r="B269" t="s">
        <v>100</v>
      </c>
      <c r="C269" t="s">
        <v>110</v>
      </c>
      <c r="D269" s="33">
        <v>45890</v>
      </c>
      <c r="E269" t="s">
        <v>92</v>
      </c>
      <c r="F269" s="5">
        <v>857.26</v>
      </c>
      <c r="G269" t="s">
        <v>107</v>
      </c>
      <c r="H269">
        <f>YEAR(Table1[[#This Row],[Enrollment_Date]])</f>
        <v>2025</v>
      </c>
      <c r="I269">
        <f>MONTH(Table1[[#This Row],[Enrollment_Date]])</f>
        <v>8</v>
      </c>
      <c r="J269" s="34">
        <f t="shared" si="4"/>
        <v>45890</v>
      </c>
    </row>
    <row r="270" spans="1:10">
      <c r="A270" t="s">
        <v>420</v>
      </c>
      <c r="B270" t="s">
        <v>100</v>
      </c>
      <c r="C270" t="s">
        <v>115</v>
      </c>
      <c r="D270" s="33">
        <v>45891</v>
      </c>
      <c r="E270" t="s">
        <v>92</v>
      </c>
      <c r="F270" s="5">
        <v>1197.05</v>
      </c>
      <c r="G270" t="s">
        <v>104</v>
      </c>
      <c r="H270">
        <f>YEAR(Table1[[#This Row],[Enrollment_Date]])</f>
        <v>2025</v>
      </c>
      <c r="I270">
        <f>MONTH(Table1[[#This Row],[Enrollment_Date]])</f>
        <v>8</v>
      </c>
      <c r="J270" s="34">
        <f t="shared" si="4"/>
        <v>45891</v>
      </c>
    </row>
    <row r="271" spans="1:10" hidden="1">
      <c r="A271" t="s">
        <v>204</v>
      </c>
      <c r="B271" t="s">
        <v>90</v>
      </c>
      <c r="C271" t="s">
        <v>91</v>
      </c>
      <c r="D271" s="4" t="s">
        <v>457</v>
      </c>
      <c r="E271" t="s">
        <v>92</v>
      </c>
      <c r="F271" s="5">
        <v>1056.72</v>
      </c>
      <c r="G271" t="s">
        <v>93</v>
      </c>
      <c r="H271" t="e">
        <f>YEAR(Table1[[#This Row],[Enrollment_Date]])</f>
        <v>#VALUE!</v>
      </c>
      <c r="I271" t="e">
        <f>MONTH(Table1[[#This Row],[Enrollment_Date]])</f>
        <v>#VALUE!</v>
      </c>
      <c r="J271" s="34" t="str">
        <f t="shared" si="4"/>
        <v/>
      </c>
    </row>
    <row r="272" spans="1:10">
      <c r="A272" t="s">
        <v>268</v>
      </c>
      <c r="B272" t="s">
        <v>90</v>
      </c>
      <c r="C272" t="s">
        <v>91</v>
      </c>
      <c r="D272" s="33">
        <v>45829</v>
      </c>
      <c r="E272" t="s">
        <v>92</v>
      </c>
      <c r="F272" s="5">
        <v>998.42</v>
      </c>
      <c r="G272" t="s">
        <v>93</v>
      </c>
      <c r="H272">
        <f>YEAR(Table1[[#This Row],[Enrollment_Date]])</f>
        <v>2025</v>
      </c>
      <c r="I272">
        <f>MONTH(Table1[[#This Row],[Enrollment_Date]])</f>
        <v>6</v>
      </c>
      <c r="J272" s="34">
        <f t="shared" si="4"/>
        <v>45829</v>
      </c>
    </row>
    <row r="273" spans="1:10">
      <c r="A273" t="s">
        <v>331</v>
      </c>
      <c r="B273" t="s">
        <v>90</v>
      </c>
      <c r="C273" t="s">
        <v>91</v>
      </c>
      <c r="D273" s="33">
        <v>45830</v>
      </c>
      <c r="E273" t="s">
        <v>92</v>
      </c>
      <c r="F273" s="5">
        <v>998.42</v>
      </c>
      <c r="G273" t="s">
        <v>93</v>
      </c>
      <c r="H273">
        <f>YEAR(Table1[[#This Row],[Enrollment_Date]])</f>
        <v>2025</v>
      </c>
      <c r="I273">
        <f>MONTH(Table1[[#This Row],[Enrollment_Date]])</f>
        <v>6</v>
      </c>
      <c r="J273" s="34">
        <f t="shared" si="4"/>
        <v>45830</v>
      </c>
    </row>
    <row r="274" spans="1:10">
      <c r="A274" t="s">
        <v>222</v>
      </c>
      <c r="B274" t="s">
        <v>100</v>
      </c>
      <c r="C274" t="s">
        <v>101</v>
      </c>
      <c r="D274" s="33">
        <v>45831</v>
      </c>
      <c r="E274" t="s">
        <v>116</v>
      </c>
      <c r="F274" s="5">
        <v>1164.6500000000001</v>
      </c>
      <c r="G274" t="s">
        <v>107</v>
      </c>
      <c r="H274">
        <f>YEAR(Table1[[#This Row],[Enrollment_Date]])</f>
        <v>2025</v>
      </c>
      <c r="I274">
        <f>MONTH(Table1[[#This Row],[Enrollment_Date]])</f>
        <v>6</v>
      </c>
      <c r="J274" s="34">
        <f t="shared" si="4"/>
        <v>45831</v>
      </c>
    </row>
    <row r="275" spans="1:10">
      <c r="A275" t="s">
        <v>317</v>
      </c>
      <c r="B275" t="s">
        <v>100</v>
      </c>
      <c r="C275" t="s">
        <v>95</v>
      </c>
      <c r="D275" s="33">
        <v>45832</v>
      </c>
      <c r="E275" t="s">
        <v>102</v>
      </c>
      <c r="F275" s="5">
        <v>978.96</v>
      </c>
      <c r="G275" t="s">
        <v>93</v>
      </c>
      <c r="H275">
        <f>YEAR(Table1[[#This Row],[Enrollment_Date]])</f>
        <v>2025</v>
      </c>
      <c r="I275">
        <f>MONTH(Table1[[#This Row],[Enrollment_Date]])</f>
        <v>6</v>
      </c>
      <c r="J275" s="34">
        <f t="shared" si="4"/>
        <v>45832</v>
      </c>
    </row>
    <row r="276" spans="1:10">
      <c r="A276" t="s">
        <v>255</v>
      </c>
      <c r="B276" t="s">
        <v>100</v>
      </c>
      <c r="C276" t="s">
        <v>95</v>
      </c>
      <c r="D276" s="33">
        <v>45833</v>
      </c>
      <c r="E276" t="s">
        <v>458</v>
      </c>
      <c r="F276" s="5">
        <v>978.96</v>
      </c>
      <c r="G276" t="s">
        <v>93</v>
      </c>
      <c r="H276">
        <f>YEAR(Table1[[#This Row],[Enrollment_Date]])</f>
        <v>2025</v>
      </c>
      <c r="I276">
        <f>MONTH(Table1[[#This Row],[Enrollment_Date]])</f>
        <v>6</v>
      </c>
      <c r="J276" s="34">
        <f t="shared" si="4"/>
        <v>45833</v>
      </c>
    </row>
    <row r="277" spans="1:10">
      <c r="A277" t="s">
        <v>120</v>
      </c>
      <c r="B277" t="s">
        <v>100</v>
      </c>
      <c r="C277" t="s">
        <v>97</v>
      </c>
      <c r="D277" s="33">
        <v>45834</v>
      </c>
      <c r="E277" t="s">
        <v>92</v>
      </c>
      <c r="F277" s="5">
        <v>772.18</v>
      </c>
      <c r="G277" t="s">
        <v>107</v>
      </c>
      <c r="H277">
        <f>YEAR(Table1[[#This Row],[Enrollment_Date]])</f>
        <v>2025</v>
      </c>
      <c r="I277">
        <f>MONTH(Table1[[#This Row],[Enrollment_Date]])</f>
        <v>6</v>
      </c>
      <c r="J277" s="34">
        <f t="shared" si="4"/>
        <v>45834</v>
      </c>
    </row>
    <row r="278" spans="1:10">
      <c r="A278" t="s">
        <v>421</v>
      </c>
      <c r="B278" t="s">
        <v>100</v>
      </c>
      <c r="C278" t="s">
        <v>91</v>
      </c>
      <c r="D278" s="33">
        <v>45835</v>
      </c>
      <c r="E278" t="s">
        <v>92</v>
      </c>
      <c r="F278" s="5">
        <v>938.18</v>
      </c>
      <c r="G278" t="s">
        <v>107</v>
      </c>
      <c r="H278">
        <f>YEAR(Table1[[#This Row],[Enrollment_Date]])</f>
        <v>2025</v>
      </c>
      <c r="I278">
        <f>MONTH(Table1[[#This Row],[Enrollment_Date]])</f>
        <v>6</v>
      </c>
      <c r="J278" s="34">
        <f t="shared" si="4"/>
        <v>45835</v>
      </c>
    </row>
    <row r="279" spans="1:10">
      <c r="A279" t="s">
        <v>257</v>
      </c>
      <c r="B279" t="s">
        <v>100</v>
      </c>
      <c r="C279" t="s">
        <v>95</v>
      </c>
      <c r="D279" s="33">
        <v>45836</v>
      </c>
      <c r="E279" t="s">
        <v>116</v>
      </c>
      <c r="F279" s="5">
        <v>946.4</v>
      </c>
      <c r="G279" t="s">
        <v>93</v>
      </c>
      <c r="H279">
        <f>YEAR(Table1[[#This Row],[Enrollment_Date]])</f>
        <v>2025</v>
      </c>
      <c r="I279">
        <f>MONTH(Table1[[#This Row],[Enrollment_Date]])</f>
        <v>6</v>
      </c>
      <c r="J279" s="34">
        <f t="shared" si="4"/>
        <v>45836</v>
      </c>
    </row>
    <row r="280" spans="1:10">
      <c r="A280" t="s">
        <v>98</v>
      </c>
      <c r="B280" t="s">
        <v>100</v>
      </c>
      <c r="C280" t="s">
        <v>91</v>
      </c>
      <c r="D280" s="33">
        <v>45837</v>
      </c>
      <c r="E280" t="s">
        <v>92</v>
      </c>
      <c r="F280" s="5">
        <v>1065.77</v>
      </c>
      <c r="G280" t="s">
        <v>107</v>
      </c>
      <c r="H280">
        <f>YEAR(Table1[[#This Row],[Enrollment_Date]])</f>
        <v>2025</v>
      </c>
      <c r="I280">
        <f>MONTH(Table1[[#This Row],[Enrollment_Date]])</f>
        <v>6</v>
      </c>
      <c r="J280" s="34">
        <f t="shared" si="4"/>
        <v>45837</v>
      </c>
    </row>
    <row r="281" spans="1:10">
      <c r="A281" t="s">
        <v>225</v>
      </c>
      <c r="B281" t="s">
        <v>100</v>
      </c>
      <c r="C281" t="s">
        <v>456</v>
      </c>
      <c r="D281" s="33">
        <v>45838</v>
      </c>
      <c r="E281" t="s">
        <v>92</v>
      </c>
      <c r="F281" s="5">
        <v>936.29</v>
      </c>
      <c r="G281" t="s">
        <v>461</v>
      </c>
      <c r="H281">
        <f>YEAR(Table1[[#This Row],[Enrollment_Date]])</f>
        <v>2025</v>
      </c>
      <c r="I281">
        <f>MONTH(Table1[[#This Row],[Enrollment_Date]])</f>
        <v>6</v>
      </c>
      <c r="J281" s="34">
        <f t="shared" si="4"/>
        <v>45838</v>
      </c>
    </row>
    <row r="282" spans="1:10">
      <c r="A282" t="s">
        <v>234</v>
      </c>
      <c r="B282" t="s">
        <v>455</v>
      </c>
      <c r="C282" t="s">
        <v>91</v>
      </c>
      <c r="D282" s="33">
        <v>45839</v>
      </c>
      <c r="E282" t="s">
        <v>102</v>
      </c>
      <c r="F282" s="5">
        <v>893.95</v>
      </c>
      <c r="G282" t="s">
        <v>107</v>
      </c>
      <c r="H282">
        <f>YEAR(Table1[[#This Row],[Enrollment_Date]])</f>
        <v>2025</v>
      </c>
      <c r="I282">
        <f>MONTH(Table1[[#This Row],[Enrollment_Date]])</f>
        <v>7</v>
      </c>
      <c r="J282" s="34">
        <f t="shared" si="4"/>
        <v>45839</v>
      </c>
    </row>
    <row r="283" spans="1:10">
      <c r="A283" t="s">
        <v>181</v>
      </c>
      <c r="B283" t="s">
        <v>90</v>
      </c>
      <c r="C283" t="s">
        <v>95</v>
      </c>
      <c r="D283" s="33">
        <v>45840</v>
      </c>
      <c r="E283" t="s">
        <v>92</v>
      </c>
      <c r="F283" s="5">
        <v>1004.33</v>
      </c>
      <c r="G283" t="s">
        <v>93</v>
      </c>
      <c r="H283">
        <f>YEAR(Table1[[#This Row],[Enrollment_Date]])</f>
        <v>2025</v>
      </c>
      <c r="I283">
        <f>MONTH(Table1[[#This Row],[Enrollment_Date]])</f>
        <v>7</v>
      </c>
      <c r="J283" s="34">
        <f t="shared" si="4"/>
        <v>45840</v>
      </c>
    </row>
    <row r="284" spans="1:10">
      <c r="A284" t="s">
        <v>422</v>
      </c>
      <c r="B284" t="s">
        <v>90</v>
      </c>
      <c r="C284" t="s">
        <v>91</v>
      </c>
      <c r="D284" s="33">
        <v>45841</v>
      </c>
      <c r="E284" t="s">
        <v>92</v>
      </c>
      <c r="F284" s="5">
        <v>878.75</v>
      </c>
      <c r="G284" t="s">
        <v>107</v>
      </c>
      <c r="H284">
        <f>YEAR(Table1[[#This Row],[Enrollment_Date]])</f>
        <v>2025</v>
      </c>
      <c r="I284">
        <f>MONTH(Table1[[#This Row],[Enrollment_Date]])</f>
        <v>7</v>
      </c>
      <c r="J284" s="34">
        <f t="shared" si="4"/>
        <v>45841</v>
      </c>
    </row>
    <row r="285" spans="1:10">
      <c r="A285" t="s">
        <v>316</v>
      </c>
      <c r="B285" t="s">
        <v>90</v>
      </c>
      <c r="C285" t="s">
        <v>101</v>
      </c>
      <c r="D285" s="33">
        <v>45842</v>
      </c>
      <c r="E285" t="s">
        <v>102</v>
      </c>
      <c r="F285" s="5">
        <v>1136.0899999999999</v>
      </c>
      <c r="G285" t="s">
        <v>107</v>
      </c>
      <c r="H285">
        <f>YEAR(Table1[[#This Row],[Enrollment_Date]])</f>
        <v>2025</v>
      </c>
      <c r="I285">
        <f>MONTH(Table1[[#This Row],[Enrollment_Date]])</f>
        <v>7</v>
      </c>
      <c r="J285" s="34">
        <f t="shared" si="4"/>
        <v>45842</v>
      </c>
    </row>
    <row r="286" spans="1:10">
      <c r="A286" t="s">
        <v>129</v>
      </c>
      <c r="B286" t="s">
        <v>100</v>
      </c>
      <c r="C286" t="s">
        <v>95</v>
      </c>
      <c r="D286" s="33">
        <v>45843</v>
      </c>
      <c r="E286" t="s">
        <v>116</v>
      </c>
      <c r="F286" s="5">
        <v>810.27</v>
      </c>
      <c r="G286" t="s">
        <v>107</v>
      </c>
      <c r="H286">
        <f>YEAR(Table1[[#This Row],[Enrollment_Date]])</f>
        <v>2025</v>
      </c>
      <c r="I286">
        <f>MONTH(Table1[[#This Row],[Enrollment_Date]])</f>
        <v>7</v>
      </c>
      <c r="J286" s="34">
        <f t="shared" si="4"/>
        <v>45843</v>
      </c>
    </row>
    <row r="287" spans="1:10">
      <c r="A287" t="s">
        <v>144</v>
      </c>
      <c r="B287" t="s">
        <v>90</v>
      </c>
      <c r="C287" t="s">
        <v>110</v>
      </c>
      <c r="D287" s="33">
        <v>45844</v>
      </c>
      <c r="E287" t="s">
        <v>92</v>
      </c>
      <c r="F287" s="5">
        <v>753.5</v>
      </c>
      <c r="G287" t="s">
        <v>107</v>
      </c>
      <c r="H287">
        <f>YEAR(Table1[[#This Row],[Enrollment_Date]])</f>
        <v>2025</v>
      </c>
      <c r="I287">
        <f>MONTH(Table1[[#This Row],[Enrollment_Date]])</f>
        <v>7</v>
      </c>
      <c r="J287" s="34">
        <f t="shared" si="4"/>
        <v>45844</v>
      </c>
    </row>
    <row r="288" spans="1:10">
      <c r="A288" t="s">
        <v>199</v>
      </c>
      <c r="B288" t="s">
        <v>90</v>
      </c>
      <c r="C288" t="s">
        <v>110</v>
      </c>
      <c r="D288" s="33">
        <v>45845</v>
      </c>
      <c r="E288" t="s">
        <v>116</v>
      </c>
      <c r="F288" s="5">
        <v>830.35</v>
      </c>
      <c r="G288" t="s">
        <v>107</v>
      </c>
      <c r="H288">
        <f>YEAR(Table1[[#This Row],[Enrollment_Date]])</f>
        <v>2025</v>
      </c>
      <c r="I288">
        <f>MONTH(Table1[[#This Row],[Enrollment_Date]])</f>
        <v>7</v>
      </c>
      <c r="J288" s="34">
        <f t="shared" si="4"/>
        <v>45845</v>
      </c>
    </row>
    <row r="289" spans="1:10">
      <c r="A289" t="s">
        <v>132</v>
      </c>
      <c r="B289" t="s">
        <v>90</v>
      </c>
      <c r="C289" t="s">
        <v>101</v>
      </c>
      <c r="D289" s="33">
        <v>45846</v>
      </c>
      <c r="E289" t="s">
        <v>102</v>
      </c>
      <c r="F289" s="5">
        <v>1233.48</v>
      </c>
      <c r="G289" t="s">
        <v>107</v>
      </c>
      <c r="H289">
        <f>YEAR(Table1[[#This Row],[Enrollment_Date]])</f>
        <v>2025</v>
      </c>
      <c r="I289">
        <f>MONTH(Table1[[#This Row],[Enrollment_Date]])</f>
        <v>7</v>
      </c>
      <c r="J289" s="34">
        <f t="shared" si="4"/>
        <v>45846</v>
      </c>
    </row>
    <row r="290" spans="1:10">
      <c r="A290" t="s">
        <v>218</v>
      </c>
      <c r="B290" t="s">
        <v>100</v>
      </c>
      <c r="C290" t="s">
        <v>110</v>
      </c>
      <c r="D290" s="33">
        <v>45847</v>
      </c>
      <c r="E290" t="s">
        <v>92</v>
      </c>
      <c r="F290" s="5">
        <v>820.49</v>
      </c>
      <c r="G290" t="s">
        <v>148</v>
      </c>
      <c r="H290">
        <f>YEAR(Table1[[#This Row],[Enrollment_Date]])</f>
        <v>2025</v>
      </c>
      <c r="I290">
        <f>MONTH(Table1[[#This Row],[Enrollment_Date]])</f>
        <v>7</v>
      </c>
      <c r="J290" s="34">
        <f t="shared" si="4"/>
        <v>45847</v>
      </c>
    </row>
    <row r="291" spans="1:10">
      <c r="A291" t="s">
        <v>119</v>
      </c>
      <c r="B291" t="s">
        <v>90</v>
      </c>
      <c r="C291" t="s">
        <v>91</v>
      </c>
      <c r="D291" s="33">
        <v>45848</v>
      </c>
      <c r="E291" t="s">
        <v>92</v>
      </c>
      <c r="F291" s="5">
        <v>1005.5</v>
      </c>
      <c r="G291" t="s">
        <v>93</v>
      </c>
      <c r="H291">
        <f>YEAR(Table1[[#This Row],[Enrollment_Date]])</f>
        <v>2025</v>
      </c>
      <c r="I291">
        <f>MONTH(Table1[[#This Row],[Enrollment_Date]])</f>
        <v>7</v>
      </c>
      <c r="J291" s="34">
        <f t="shared" si="4"/>
        <v>45848</v>
      </c>
    </row>
    <row r="292" spans="1:10">
      <c r="A292" t="s">
        <v>310</v>
      </c>
      <c r="B292" t="s">
        <v>90</v>
      </c>
      <c r="C292" t="s">
        <v>101</v>
      </c>
      <c r="D292" s="33">
        <v>45849</v>
      </c>
      <c r="E292" t="s">
        <v>92</v>
      </c>
      <c r="F292" s="5">
        <v>1317.6</v>
      </c>
      <c r="G292" t="s">
        <v>107</v>
      </c>
      <c r="H292">
        <f>YEAR(Table1[[#This Row],[Enrollment_Date]])</f>
        <v>2025</v>
      </c>
      <c r="I292">
        <f>MONTH(Table1[[#This Row],[Enrollment_Date]])</f>
        <v>7</v>
      </c>
      <c r="J292" s="34">
        <f t="shared" si="4"/>
        <v>45849</v>
      </c>
    </row>
    <row r="293" spans="1:10">
      <c r="A293" t="s">
        <v>359</v>
      </c>
      <c r="B293" t="s">
        <v>90</v>
      </c>
      <c r="C293" t="s">
        <v>97</v>
      </c>
      <c r="D293" s="33">
        <v>45850</v>
      </c>
      <c r="E293" t="s">
        <v>92</v>
      </c>
      <c r="F293" s="5">
        <v>760.42</v>
      </c>
      <c r="G293" t="s">
        <v>107</v>
      </c>
      <c r="H293">
        <f>YEAR(Table1[[#This Row],[Enrollment_Date]])</f>
        <v>2025</v>
      </c>
      <c r="I293">
        <f>MONTH(Table1[[#This Row],[Enrollment_Date]])</f>
        <v>7</v>
      </c>
      <c r="J293" s="34">
        <f t="shared" si="4"/>
        <v>45850</v>
      </c>
    </row>
    <row r="294" spans="1:10">
      <c r="A294" t="s">
        <v>396</v>
      </c>
      <c r="B294" t="s">
        <v>100</v>
      </c>
      <c r="C294" t="s">
        <v>101</v>
      </c>
      <c r="D294" s="33">
        <v>45851</v>
      </c>
      <c r="E294" t="s">
        <v>116</v>
      </c>
      <c r="F294" s="5">
        <v>1219.68</v>
      </c>
      <c r="G294" t="s">
        <v>93</v>
      </c>
      <c r="H294">
        <f>YEAR(Table1[[#This Row],[Enrollment_Date]])</f>
        <v>2025</v>
      </c>
      <c r="I294">
        <f>MONTH(Table1[[#This Row],[Enrollment_Date]])</f>
        <v>7</v>
      </c>
      <c r="J294" s="34">
        <f t="shared" si="4"/>
        <v>45851</v>
      </c>
    </row>
    <row r="295" spans="1:10">
      <c r="A295" t="s">
        <v>397</v>
      </c>
      <c r="B295" t="s">
        <v>100</v>
      </c>
      <c r="C295" t="s">
        <v>115</v>
      </c>
      <c r="D295" s="33">
        <v>45852</v>
      </c>
      <c r="E295" t="s">
        <v>92</v>
      </c>
      <c r="F295" s="5">
        <v>1165.03</v>
      </c>
      <c r="G295" t="s">
        <v>93</v>
      </c>
      <c r="H295">
        <f>YEAR(Table1[[#This Row],[Enrollment_Date]])</f>
        <v>2025</v>
      </c>
      <c r="I295">
        <f>MONTH(Table1[[#This Row],[Enrollment_Date]])</f>
        <v>7</v>
      </c>
      <c r="J295" s="34">
        <f t="shared" si="4"/>
        <v>45852</v>
      </c>
    </row>
    <row r="296" spans="1:10">
      <c r="A296" t="s">
        <v>398</v>
      </c>
      <c r="B296" t="s">
        <v>100</v>
      </c>
      <c r="C296" t="s">
        <v>115</v>
      </c>
      <c r="D296" s="33">
        <v>45853</v>
      </c>
      <c r="E296" t="s">
        <v>102</v>
      </c>
      <c r="F296" s="5">
        <v>1005.74</v>
      </c>
      <c r="G296" t="s">
        <v>107</v>
      </c>
      <c r="H296">
        <f>YEAR(Table1[[#This Row],[Enrollment_Date]])</f>
        <v>2025</v>
      </c>
      <c r="I296">
        <f>MONTH(Table1[[#This Row],[Enrollment_Date]])</f>
        <v>7</v>
      </c>
      <c r="J296" s="34">
        <f t="shared" si="4"/>
        <v>45853</v>
      </c>
    </row>
    <row r="297" spans="1:10">
      <c r="A297" t="s">
        <v>399</v>
      </c>
      <c r="B297" t="s">
        <v>100</v>
      </c>
      <c r="C297" t="s">
        <v>91</v>
      </c>
      <c r="D297" s="33">
        <v>45854</v>
      </c>
      <c r="E297" t="s">
        <v>92</v>
      </c>
      <c r="F297" s="5">
        <v>1067.4100000000001</v>
      </c>
      <c r="G297" t="s">
        <v>107</v>
      </c>
      <c r="H297">
        <f>YEAR(Table1[[#This Row],[Enrollment_Date]])</f>
        <v>2025</v>
      </c>
      <c r="I297">
        <f>MONTH(Table1[[#This Row],[Enrollment_Date]])</f>
        <v>7</v>
      </c>
      <c r="J297" s="34">
        <f t="shared" si="4"/>
        <v>45854</v>
      </c>
    </row>
    <row r="298" spans="1:10">
      <c r="A298" t="s">
        <v>400</v>
      </c>
      <c r="B298" t="s">
        <v>90</v>
      </c>
      <c r="C298" t="s">
        <v>115</v>
      </c>
      <c r="D298" s="33">
        <v>45855</v>
      </c>
      <c r="E298" t="s">
        <v>116</v>
      </c>
      <c r="F298" s="5">
        <v>1068.0999999999999</v>
      </c>
      <c r="G298" t="s">
        <v>107</v>
      </c>
      <c r="H298">
        <f>YEAR(Table1[[#This Row],[Enrollment_Date]])</f>
        <v>2025</v>
      </c>
      <c r="I298">
        <f>MONTH(Table1[[#This Row],[Enrollment_Date]])</f>
        <v>7</v>
      </c>
      <c r="J298" s="34">
        <f t="shared" si="4"/>
        <v>45855</v>
      </c>
    </row>
    <row r="299" spans="1:10">
      <c r="A299" t="s">
        <v>401</v>
      </c>
      <c r="B299" t="s">
        <v>100</v>
      </c>
      <c r="C299" t="s">
        <v>115</v>
      </c>
      <c r="D299" s="33">
        <v>45856</v>
      </c>
      <c r="E299" t="s">
        <v>102</v>
      </c>
      <c r="F299" s="5">
        <v>1057.04</v>
      </c>
      <c r="G299" t="s">
        <v>107</v>
      </c>
      <c r="H299">
        <f>YEAR(Table1[[#This Row],[Enrollment_Date]])</f>
        <v>2025</v>
      </c>
      <c r="I299">
        <f>MONTH(Table1[[#This Row],[Enrollment_Date]])</f>
        <v>7</v>
      </c>
      <c r="J299" s="34">
        <f t="shared" si="4"/>
        <v>45856</v>
      </c>
    </row>
    <row r="300" spans="1:10">
      <c r="A300" t="s">
        <v>402</v>
      </c>
      <c r="B300" t="s">
        <v>90</v>
      </c>
      <c r="C300" t="s">
        <v>110</v>
      </c>
      <c r="D300" s="33">
        <v>45857</v>
      </c>
      <c r="E300" t="s">
        <v>102</v>
      </c>
      <c r="F300" s="5">
        <v>753.39</v>
      </c>
      <c r="G300" t="s">
        <v>107</v>
      </c>
      <c r="H300">
        <f>YEAR(Table1[[#This Row],[Enrollment_Date]])</f>
        <v>2025</v>
      </c>
      <c r="I300">
        <f>MONTH(Table1[[#This Row],[Enrollment_Date]])</f>
        <v>7</v>
      </c>
      <c r="J300" s="34">
        <f t="shared" si="4"/>
        <v>45857</v>
      </c>
    </row>
    <row r="301" spans="1:10">
      <c r="A301" t="s">
        <v>403</v>
      </c>
      <c r="B301" t="s">
        <v>90</v>
      </c>
      <c r="C301" t="s">
        <v>97</v>
      </c>
      <c r="D301" s="33">
        <v>45858</v>
      </c>
      <c r="E301" t="s">
        <v>102</v>
      </c>
      <c r="F301" s="5">
        <v>901.18</v>
      </c>
      <c r="G301" t="s">
        <v>107</v>
      </c>
      <c r="H301">
        <f>YEAR(Table1[[#This Row],[Enrollment_Date]])</f>
        <v>2025</v>
      </c>
      <c r="I301">
        <f>MONTH(Table1[[#This Row],[Enrollment_Date]])</f>
        <v>7</v>
      </c>
      <c r="J301" s="34">
        <f t="shared" si="4"/>
        <v>45858</v>
      </c>
    </row>
  </sheetData>
  <phoneticPr fontId="3" type="noConversion"/>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01"/>
  <sheetViews>
    <sheetView workbookViewId="0">
      <selection activeCell="G301" sqref="A1:G301"/>
    </sheetView>
  </sheetViews>
  <sheetFormatPr defaultRowHeight="14"/>
  <cols>
    <col min="1" max="1" width="18" customWidth="1"/>
    <col min="2" max="4" width="21" customWidth="1"/>
    <col min="5" max="6" width="18" customWidth="1"/>
    <col min="7" max="7" width="20" customWidth="1"/>
  </cols>
  <sheetData>
    <row r="1" spans="1:9">
      <c r="A1" s="3" t="s">
        <v>82</v>
      </c>
      <c r="B1" s="3" t="s">
        <v>83</v>
      </c>
      <c r="C1" s="3" t="s">
        <v>84</v>
      </c>
      <c r="D1" s="3" t="s">
        <v>85</v>
      </c>
      <c r="E1" s="3" t="s">
        <v>86</v>
      </c>
      <c r="F1" s="3" t="s">
        <v>87</v>
      </c>
      <c r="G1" s="3" t="s">
        <v>88</v>
      </c>
    </row>
    <row r="2" spans="1:9">
      <c r="A2" t="s">
        <v>206</v>
      </c>
      <c r="B2" t="s">
        <v>100</v>
      </c>
      <c r="C2" t="s">
        <v>91</v>
      </c>
      <c r="D2" s="4">
        <v>45994</v>
      </c>
      <c r="E2" t="s">
        <v>92</v>
      </c>
      <c r="F2" s="5">
        <v>927.99</v>
      </c>
    </row>
    <row r="3" spans="1:9">
      <c r="A3" t="s">
        <v>325</v>
      </c>
      <c r="B3" t="s">
        <v>90</v>
      </c>
      <c r="C3" t="s">
        <v>91</v>
      </c>
      <c r="D3" s="4">
        <v>45772</v>
      </c>
      <c r="E3" t="s">
        <v>102</v>
      </c>
      <c r="F3" s="5">
        <v>929.8</v>
      </c>
      <c r="G3" t="s">
        <v>107</v>
      </c>
    </row>
    <row r="4" spans="1:9">
      <c r="A4" t="s">
        <v>341</v>
      </c>
      <c r="B4" t="s">
        <v>100</v>
      </c>
      <c r="C4" t="s">
        <v>95</v>
      </c>
      <c r="D4" s="4">
        <v>46105</v>
      </c>
      <c r="E4" t="s">
        <v>92</v>
      </c>
      <c r="F4" s="5">
        <v>1028.3499999999999</v>
      </c>
      <c r="G4" t="s">
        <v>107</v>
      </c>
    </row>
    <row r="5" spans="1:9">
      <c r="A5" t="s">
        <v>294</v>
      </c>
      <c r="B5" t="s">
        <v>100</v>
      </c>
      <c r="C5" t="s">
        <v>115</v>
      </c>
      <c r="D5" s="4">
        <v>46121</v>
      </c>
      <c r="E5" t="s">
        <v>116</v>
      </c>
      <c r="F5" s="5"/>
      <c r="G5" t="s">
        <v>107</v>
      </c>
    </row>
    <row r="6" spans="1:9">
      <c r="A6" t="s">
        <v>259</v>
      </c>
      <c r="B6" t="s">
        <v>90</v>
      </c>
      <c r="C6" t="s">
        <v>91</v>
      </c>
      <c r="D6" s="4">
        <v>46010</v>
      </c>
      <c r="E6" t="s">
        <v>242</v>
      </c>
      <c r="F6" s="5">
        <v>1035.3900000000001</v>
      </c>
      <c r="G6" t="s">
        <v>107</v>
      </c>
    </row>
    <row r="7" spans="1:9">
      <c r="A7" t="s">
        <v>369</v>
      </c>
      <c r="B7" t="s">
        <v>90</v>
      </c>
      <c r="D7" s="4">
        <v>45971</v>
      </c>
      <c r="E7" t="s">
        <v>92</v>
      </c>
      <c r="F7" s="5">
        <v>1254.82</v>
      </c>
      <c r="G7" t="s">
        <v>104</v>
      </c>
    </row>
    <row r="8" spans="1:9">
      <c r="A8" t="s">
        <v>386</v>
      </c>
      <c r="B8" t="s">
        <v>100</v>
      </c>
      <c r="C8" t="s">
        <v>95</v>
      </c>
      <c r="D8" s="4">
        <v>46040</v>
      </c>
      <c r="E8" t="s">
        <v>92</v>
      </c>
      <c r="F8" s="5">
        <v>825.79</v>
      </c>
      <c r="G8" t="s">
        <v>93</v>
      </c>
    </row>
    <row r="9" spans="1:9">
      <c r="A9" t="s">
        <v>182</v>
      </c>
      <c r="B9" t="s">
        <v>100</v>
      </c>
      <c r="C9" t="s">
        <v>91</v>
      </c>
      <c r="D9" s="4">
        <v>45726</v>
      </c>
      <c r="E9" t="s">
        <v>116</v>
      </c>
      <c r="F9" s="5">
        <v>1034.99</v>
      </c>
      <c r="G9" t="s">
        <v>148</v>
      </c>
    </row>
    <row r="10" spans="1:9">
      <c r="A10" t="s">
        <v>318</v>
      </c>
      <c r="B10" t="s">
        <v>90</v>
      </c>
      <c r="C10" t="s">
        <v>91</v>
      </c>
      <c r="D10" s="4">
        <v>45843</v>
      </c>
      <c r="E10" t="s">
        <v>92</v>
      </c>
      <c r="F10" s="5">
        <v>1006.87</v>
      </c>
      <c r="G10" t="s">
        <v>107</v>
      </c>
      <c r="I10">
        <f>SUMIF(B2:B301,"Female",F2:F301)</f>
        <v>137600.6700000001</v>
      </c>
    </row>
    <row r="11" spans="1:9">
      <c r="A11" t="s">
        <v>290</v>
      </c>
      <c r="C11" t="s">
        <v>91</v>
      </c>
      <c r="D11" s="4">
        <v>45730</v>
      </c>
      <c r="E11" t="s">
        <v>116</v>
      </c>
      <c r="F11" s="5">
        <v>896.69</v>
      </c>
      <c r="G11" t="s">
        <v>93</v>
      </c>
    </row>
    <row r="12" spans="1:9">
      <c r="A12" t="s">
        <v>186</v>
      </c>
      <c r="B12" t="s">
        <v>90</v>
      </c>
      <c r="C12" t="s">
        <v>91</v>
      </c>
      <c r="D12" s="4">
        <v>45692</v>
      </c>
      <c r="E12" t="s">
        <v>116</v>
      </c>
      <c r="F12" s="5">
        <v>1046.24</v>
      </c>
      <c r="G12" t="s">
        <v>93</v>
      </c>
    </row>
    <row r="13" spans="1:9">
      <c r="A13" t="s">
        <v>256</v>
      </c>
      <c r="B13" t="s">
        <v>100</v>
      </c>
      <c r="C13" t="s">
        <v>115</v>
      </c>
      <c r="D13" s="4">
        <v>46010</v>
      </c>
      <c r="F13" s="5" t="s">
        <v>113</v>
      </c>
      <c r="G13" t="s">
        <v>107</v>
      </c>
    </row>
    <row r="14" spans="1:9">
      <c r="A14" t="s">
        <v>372</v>
      </c>
      <c r="B14" t="s">
        <v>90</v>
      </c>
      <c r="C14" t="s">
        <v>115</v>
      </c>
      <c r="D14" s="4">
        <v>46221</v>
      </c>
      <c r="E14" t="s">
        <v>92</v>
      </c>
      <c r="F14" s="5">
        <v>1140.6500000000001</v>
      </c>
      <c r="G14" t="s">
        <v>107</v>
      </c>
    </row>
    <row r="15" spans="1:9">
      <c r="A15" t="s">
        <v>208</v>
      </c>
      <c r="B15" t="s">
        <v>100</v>
      </c>
      <c r="C15" t="s">
        <v>91</v>
      </c>
      <c r="D15" s="4">
        <v>46011</v>
      </c>
      <c r="E15" t="s">
        <v>92</v>
      </c>
      <c r="F15" s="5">
        <v>890.93</v>
      </c>
      <c r="G15" t="s">
        <v>107</v>
      </c>
    </row>
    <row r="16" spans="1:9">
      <c r="A16" t="s">
        <v>267</v>
      </c>
      <c r="B16" t="s">
        <v>100</v>
      </c>
      <c r="D16" s="4">
        <v>45748</v>
      </c>
      <c r="E16" t="s">
        <v>92</v>
      </c>
      <c r="F16" s="5">
        <v>1239.3399999999999</v>
      </c>
      <c r="G16" t="s">
        <v>104</v>
      </c>
    </row>
    <row r="17" spans="1:7">
      <c r="A17" t="s">
        <v>178</v>
      </c>
      <c r="B17" t="s">
        <v>90</v>
      </c>
      <c r="D17" s="4">
        <v>46025</v>
      </c>
      <c r="E17" t="s">
        <v>102</v>
      </c>
      <c r="F17" s="5">
        <v>1245.26</v>
      </c>
      <c r="G17" t="s">
        <v>148</v>
      </c>
    </row>
    <row r="18" spans="1:7">
      <c r="A18" t="s">
        <v>137</v>
      </c>
      <c r="B18" t="s">
        <v>100</v>
      </c>
      <c r="C18" t="s">
        <v>115</v>
      </c>
      <c r="D18" s="4">
        <v>46031</v>
      </c>
      <c r="E18" t="s">
        <v>92</v>
      </c>
      <c r="F18" s="5">
        <v>1175.69</v>
      </c>
      <c r="G18" t="s">
        <v>93</v>
      </c>
    </row>
    <row r="19" spans="1:7">
      <c r="A19" t="s">
        <v>173</v>
      </c>
      <c r="B19" t="s">
        <v>90</v>
      </c>
      <c r="C19" t="s">
        <v>91</v>
      </c>
      <c r="D19" s="4">
        <v>46087</v>
      </c>
      <c r="E19" t="s">
        <v>102</v>
      </c>
      <c r="F19" s="5">
        <v>905.83</v>
      </c>
      <c r="G19" t="s">
        <v>93</v>
      </c>
    </row>
    <row r="20" spans="1:7">
      <c r="A20" t="s">
        <v>162</v>
      </c>
      <c r="B20" t="s">
        <v>100</v>
      </c>
      <c r="C20" t="s">
        <v>110</v>
      </c>
      <c r="D20" s="4">
        <v>46002</v>
      </c>
      <c r="E20" t="s">
        <v>116</v>
      </c>
      <c r="F20" s="5">
        <v>893.17</v>
      </c>
      <c r="G20" t="s">
        <v>107</v>
      </c>
    </row>
    <row r="21" spans="1:7">
      <c r="A21" t="s">
        <v>169</v>
      </c>
      <c r="C21" t="s">
        <v>115</v>
      </c>
      <c r="D21" s="4">
        <v>45912</v>
      </c>
      <c r="E21" t="s">
        <v>92</v>
      </c>
      <c r="F21" s="5">
        <v>1065.3699999999999</v>
      </c>
      <c r="G21" t="s">
        <v>107</v>
      </c>
    </row>
    <row r="22" spans="1:7">
      <c r="A22" t="s">
        <v>154</v>
      </c>
      <c r="B22" t="s">
        <v>90</v>
      </c>
      <c r="C22" t="s">
        <v>115</v>
      </c>
      <c r="D22" s="4">
        <v>45801</v>
      </c>
      <c r="E22" t="s">
        <v>92</v>
      </c>
      <c r="F22" s="5">
        <v>1172</v>
      </c>
      <c r="G22" t="s">
        <v>148</v>
      </c>
    </row>
    <row r="23" spans="1:7">
      <c r="A23" t="s">
        <v>188</v>
      </c>
      <c r="B23" t="s">
        <v>90</v>
      </c>
      <c r="C23" t="s">
        <v>95</v>
      </c>
      <c r="D23" s="4">
        <v>45942</v>
      </c>
      <c r="E23" t="s">
        <v>92</v>
      </c>
      <c r="F23" s="5"/>
      <c r="G23" t="s">
        <v>104</v>
      </c>
    </row>
    <row r="24" spans="1:7">
      <c r="A24" t="s">
        <v>184</v>
      </c>
      <c r="B24" t="s">
        <v>90</v>
      </c>
      <c r="C24" t="s">
        <v>115</v>
      </c>
      <c r="D24" s="4"/>
      <c r="E24" t="s">
        <v>92</v>
      </c>
      <c r="F24" s="5">
        <v>1129.42</v>
      </c>
      <c r="G24" t="s">
        <v>93</v>
      </c>
    </row>
    <row r="25" spans="1:7">
      <c r="A25" t="s">
        <v>174</v>
      </c>
      <c r="B25" t="s">
        <v>90</v>
      </c>
      <c r="C25" t="s">
        <v>115</v>
      </c>
      <c r="D25" s="4" t="s">
        <v>175</v>
      </c>
      <c r="E25" t="s">
        <v>92</v>
      </c>
      <c r="F25" s="5">
        <v>1048</v>
      </c>
      <c r="G25" t="s">
        <v>107</v>
      </c>
    </row>
    <row r="26" spans="1:7">
      <c r="A26" t="s">
        <v>174</v>
      </c>
      <c r="B26" t="s">
        <v>90</v>
      </c>
      <c r="C26" t="s">
        <v>115</v>
      </c>
      <c r="D26" s="4">
        <v>45887</v>
      </c>
      <c r="E26" t="s">
        <v>92</v>
      </c>
      <c r="F26" s="5"/>
      <c r="G26" t="s">
        <v>107</v>
      </c>
    </row>
    <row r="27" spans="1:7">
      <c r="A27" t="s">
        <v>233</v>
      </c>
      <c r="B27" t="s">
        <v>100</v>
      </c>
      <c r="C27" t="s">
        <v>91</v>
      </c>
      <c r="D27" s="4">
        <v>45928</v>
      </c>
      <c r="F27" s="5">
        <v>1014.33</v>
      </c>
      <c r="G27" t="s">
        <v>93</v>
      </c>
    </row>
    <row r="28" spans="1:7">
      <c r="A28" t="s">
        <v>305</v>
      </c>
      <c r="B28" t="s">
        <v>100</v>
      </c>
      <c r="C28" t="s">
        <v>95</v>
      </c>
      <c r="D28" s="4">
        <v>45855</v>
      </c>
      <c r="E28" t="s">
        <v>92</v>
      </c>
      <c r="F28" s="5">
        <v>877.02</v>
      </c>
      <c r="G28" t="s">
        <v>107</v>
      </c>
    </row>
    <row r="29" spans="1:7">
      <c r="A29" t="s">
        <v>230</v>
      </c>
      <c r="B29" t="s">
        <v>90</v>
      </c>
      <c r="C29" t="s">
        <v>115</v>
      </c>
      <c r="D29" s="4">
        <v>45668</v>
      </c>
      <c r="E29" t="s">
        <v>92</v>
      </c>
      <c r="F29" s="5"/>
      <c r="G29" t="s">
        <v>107</v>
      </c>
    </row>
    <row r="30" spans="1:7">
      <c r="A30" t="s">
        <v>293</v>
      </c>
      <c r="B30" t="s">
        <v>100</v>
      </c>
      <c r="C30" t="s">
        <v>95</v>
      </c>
      <c r="D30" s="4">
        <v>45669</v>
      </c>
      <c r="E30" t="s">
        <v>92</v>
      </c>
      <c r="F30" s="5">
        <v>922.81</v>
      </c>
      <c r="G30" t="s">
        <v>107</v>
      </c>
    </row>
    <row r="31" spans="1:7">
      <c r="A31" t="s">
        <v>133</v>
      </c>
      <c r="B31" t="s">
        <v>100</v>
      </c>
      <c r="C31" t="s">
        <v>115</v>
      </c>
      <c r="D31" s="4">
        <v>45706</v>
      </c>
      <c r="E31" t="s">
        <v>92</v>
      </c>
      <c r="F31" s="5">
        <v>1155.26</v>
      </c>
      <c r="G31" t="s">
        <v>93</v>
      </c>
    </row>
    <row r="32" spans="1:7">
      <c r="A32" t="s">
        <v>343</v>
      </c>
      <c r="B32" t="s">
        <v>90</v>
      </c>
      <c r="C32" t="s">
        <v>91</v>
      </c>
      <c r="D32" s="4">
        <v>45968</v>
      </c>
      <c r="E32" t="s">
        <v>92</v>
      </c>
      <c r="F32" s="5">
        <v>1064.99</v>
      </c>
      <c r="G32" t="s">
        <v>107</v>
      </c>
    </row>
    <row r="33" spans="1:7">
      <c r="A33" t="s">
        <v>309</v>
      </c>
      <c r="B33" t="s">
        <v>90</v>
      </c>
      <c r="C33" t="s">
        <v>97</v>
      </c>
      <c r="D33" s="4"/>
      <c r="F33" s="5">
        <v>808.66</v>
      </c>
      <c r="G33" t="s">
        <v>107</v>
      </c>
    </row>
    <row r="34" spans="1:7">
      <c r="A34" t="s">
        <v>192</v>
      </c>
      <c r="B34" t="s">
        <v>90</v>
      </c>
      <c r="C34" t="s">
        <v>97</v>
      </c>
      <c r="D34" s="4">
        <v>46066</v>
      </c>
      <c r="E34" t="s">
        <v>116</v>
      </c>
      <c r="F34" s="5">
        <v>834.99</v>
      </c>
      <c r="G34" t="s">
        <v>107</v>
      </c>
    </row>
    <row r="35" spans="1:7">
      <c r="A35" t="s">
        <v>220</v>
      </c>
      <c r="B35" t="s">
        <v>100</v>
      </c>
      <c r="C35" t="s">
        <v>95</v>
      </c>
      <c r="D35" s="4">
        <v>45804</v>
      </c>
      <c r="E35" t="s">
        <v>92</v>
      </c>
      <c r="F35" s="5">
        <v>972.65</v>
      </c>
    </row>
    <row r="36" spans="1:7">
      <c r="A36" t="s">
        <v>111</v>
      </c>
      <c r="B36" t="s">
        <v>100</v>
      </c>
      <c r="C36" t="s">
        <v>91</v>
      </c>
      <c r="D36" s="4">
        <v>45892</v>
      </c>
      <c r="E36" t="s">
        <v>102</v>
      </c>
      <c r="F36" s="5">
        <v>886.2</v>
      </c>
    </row>
    <row r="37" spans="1:7">
      <c r="A37" t="s">
        <v>205</v>
      </c>
      <c r="B37" t="s">
        <v>90</v>
      </c>
      <c r="C37" t="s">
        <v>97</v>
      </c>
      <c r="D37" s="4">
        <v>45993</v>
      </c>
      <c r="F37" s="5">
        <v>866.74</v>
      </c>
      <c r="G37" t="s">
        <v>136</v>
      </c>
    </row>
    <row r="38" spans="1:7">
      <c r="A38" t="s">
        <v>266</v>
      </c>
      <c r="B38" t="s">
        <v>100</v>
      </c>
      <c r="C38" t="s">
        <v>115</v>
      </c>
      <c r="D38" s="4">
        <v>45738</v>
      </c>
      <c r="E38" t="s">
        <v>92</v>
      </c>
      <c r="F38" s="5"/>
      <c r="G38" t="s">
        <v>107</v>
      </c>
    </row>
    <row r="39" spans="1:7">
      <c r="A39" t="s">
        <v>217</v>
      </c>
      <c r="B39" t="s">
        <v>90</v>
      </c>
      <c r="C39" t="s">
        <v>97</v>
      </c>
      <c r="D39" s="4">
        <v>45983</v>
      </c>
      <c r="E39" t="s">
        <v>102</v>
      </c>
      <c r="F39" s="5">
        <v>750.89</v>
      </c>
      <c r="G39" t="s">
        <v>107</v>
      </c>
    </row>
    <row r="40" spans="1:7">
      <c r="A40" t="s">
        <v>376</v>
      </c>
      <c r="B40" t="s">
        <v>100</v>
      </c>
      <c r="C40" t="s">
        <v>97</v>
      </c>
      <c r="D40" s="4">
        <v>45727</v>
      </c>
      <c r="E40" t="s">
        <v>92</v>
      </c>
      <c r="F40" s="5">
        <v>736.59</v>
      </c>
      <c r="G40" t="s">
        <v>107</v>
      </c>
    </row>
    <row r="41" spans="1:7">
      <c r="A41" t="s">
        <v>185</v>
      </c>
      <c r="B41" t="s">
        <v>90</v>
      </c>
      <c r="C41" t="s">
        <v>91</v>
      </c>
      <c r="D41" s="4">
        <v>46007</v>
      </c>
      <c r="E41" t="s">
        <v>92</v>
      </c>
      <c r="F41" s="5">
        <v>1071.49</v>
      </c>
      <c r="G41" t="s">
        <v>93</v>
      </c>
    </row>
    <row r="42" spans="1:7">
      <c r="A42" t="s">
        <v>125</v>
      </c>
      <c r="B42" t="s">
        <v>100</v>
      </c>
      <c r="C42" t="s">
        <v>97</v>
      </c>
      <c r="D42" s="4"/>
      <c r="E42" t="s">
        <v>116</v>
      </c>
      <c r="F42" s="5">
        <v>838.79</v>
      </c>
      <c r="G42" t="s">
        <v>107</v>
      </c>
    </row>
    <row r="43" spans="1:7">
      <c r="A43" t="s">
        <v>254</v>
      </c>
      <c r="C43" t="s">
        <v>95</v>
      </c>
      <c r="D43" s="4">
        <v>46213</v>
      </c>
      <c r="E43" t="s">
        <v>102</v>
      </c>
      <c r="F43" s="5">
        <v>960.91</v>
      </c>
      <c r="G43" t="s">
        <v>107</v>
      </c>
    </row>
    <row r="44" spans="1:7">
      <c r="A44" t="s">
        <v>252</v>
      </c>
      <c r="B44" t="s">
        <v>100</v>
      </c>
      <c r="C44" t="s">
        <v>101</v>
      </c>
      <c r="D44" s="4">
        <v>46209</v>
      </c>
      <c r="E44" t="s">
        <v>116</v>
      </c>
      <c r="F44" s="5">
        <v>1354.04</v>
      </c>
      <c r="G44" t="s">
        <v>148</v>
      </c>
    </row>
    <row r="45" spans="1:7">
      <c r="A45" t="s">
        <v>286</v>
      </c>
      <c r="B45" t="s">
        <v>100</v>
      </c>
      <c r="C45" t="s">
        <v>97</v>
      </c>
      <c r="D45" s="4">
        <v>45917</v>
      </c>
      <c r="E45" t="s">
        <v>92</v>
      </c>
      <c r="F45" s="5">
        <v>789.47</v>
      </c>
      <c r="G45" t="s">
        <v>148</v>
      </c>
    </row>
    <row r="46" spans="1:7">
      <c r="A46" t="s">
        <v>373</v>
      </c>
      <c r="B46" t="s">
        <v>90</v>
      </c>
      <c r="C46" t="s">
        <v>101</v>
      </c>
      <c r="D46" s="4">
        <v>45778</v>
      </c>
      <c r="E46" t="s">
        <v>102</v>
      </c>
      <c r="F46" s="5">
        <v>1208.6400000000001</v>
      </c>
    </row>
    <row r="47" spans="1:7">
      <c r="A47" t="s">
        <v>248</v>
      </c>
      <c r="B47" t="s">
        <v>90</v>
      </c>
      <c r="C47" t="s">
        <v>97</v>
      </c>
      <c r="D47" s="4">
        <v>46139</v>
      </c>
      <c r="E47" t="s">
        <v>92</v>
      </c>
      <c r="F47" s="5">
        <v>792.99</v>
      </c>
      <c r="G47" t="s">
        <v>107</v>
      </c>
    </row>
    <row r="48" spans="1:7">
      <c r="A48" t="s">
        <v>249</v>
      </c>
      <c r="B48" t="s">
        <v>90</v>
      </c>
      <c r="C48" t="s">
        <v>115</v>
      </c>
      <c r="D48" s="4">
        <v>45908</v>
      </c>
      <c r="E48" t="s">
        <v>102</v>
      </c>
      <c r="F48" s="5">
        <v>1084.1500000000001</v>
      </c>
      <c r="G48" t="s">
        <v>93</v>
      </c>
    </row>
    <row r="49" spans="1:7">
      <c r="A49" t="s">
        <v>308</v>
      </c>
      <c r="B49" t="s">
        <v>90</v>
      </c>
      <c r="C49" t="s">
        <v>101</v>
      </c>
      <c r="D49" s="4">
        <v>46121</v>
      </c>
      <c r="E49" t="s">
        <v>92</v>
      </c>
      <c r="F49" s="5">
        <v>1305.94</v>
      </c>
      <c r="G49" t="s">
        <v>93</v>
      </c>
    </row>
    <row r="50" spans="1:7">
      <c r="A50" t="s">
        <v>94</v>
      </c>
      <c r="B50" t="s">
        <v>90</v>
      </c>
      <c r="C50" t="s">
        <v>95</v>
      </c>
      <c r="D50" s="4">
        <v>46144</v>
      </c>
      <c r="E50" t="s">
        <v>92</v>
      </c>
      <c r="F50" s="5"/>
      <c r="G50" t="s">
        <v>93</v>
      </c>
    </row>
    <row r="51" spans="1:7">
      <c r="A51" t="s">
        <v>197</v>
      </c>
      <c r="B51" t="s">
        <v>100</v>
      </c>
      <c r="C51" t="s">
        <v>95</v>
      </c>
      <c r="D51" s="4"/>
      <c r="E51" t="s">
        <v>116</v>
      </c>
      <c r="F51" s="5">
        <v>1000.77</v>
      </c>
      <c r="G51" t="s">
        <v>107</v>
      </c>
    </row>
    <row r="52" spans="1:7">
      <c r="A52" t="s">
        <v>191</v>
      </c>
      <c r="B52" t="s">
        <v>100</v>
      </c>
      <c r="C52" t="s">
        <v>91</v>
      </c>
      <c r="D52" s="4">
        <v>45983</v>
      </c>
      <c r="E52" t="s">
        <v>92</v>
      </c>
      <c r="F52" s="5">
        <v>928.88</v>
      </c>
      <c r="G52" t="s">
        <v>107</v>
      </c>
    </row>
    <row r="53" spans="1:7">
      <c r="A53" t="s">
        <v>191</v>
      </c>
      <c r="B53" t="s">
        <v>100</v>
      </c>
      <c r="C53" t="s">
        <v>91</v>
      </c>
      <c r="D53" s="4">
        <v>45983</v>
      </c>
      <c r="E53" t="s">
        <v>92</v>
      </c>
      <c r="F53" s="5">
        <v>928.88</v>
      </c>
      <c r="G53" t="s">
        <v>107</v>
      </c>
    </row>
    <row r="54" spans="1:7">
      <c r="A54" t="s">
        <v>362</v>
      </c>
      <c r="B54" t="s">
        <v>90</v>
      </c>
      <c r="C54" t="s">
        <v>115</v>
      </c>
      <c r="D54" s="4">
        <v>45903</v>
      </c>
      <c r="E54" t="s">
        <v>92</v>
      </c>
      <c r="F54" s="5"/>
      <c r="G54" t="s">
        <v>93</v>
      </c>
    </row>
    <row r="55" spans="1:7">
      <c r="A55" t="s">
        <v>190</v>
      </c>
      <c r="B55" t="s">
        <v>100</v>
      </c>
      <c r="C55" t="s">
        <v>101</v>
      </c>
      <c r="D55" s="4">
        <v>45685</v>
      </c>
      <c r="E55" t="s">
        <v>92</v>
      </c>
      <c r="F55" s="5">
        <v>1142.5999999999999</v>
      </c>
      <c r="G55" t="s">
        <v>107</v>
      </c>
    </row>
    <row r="56" spans="1:7">
      <c r="A56" t="s">
        <v>301</v>
      </c>
      <c r="B56" t="s">
        <v>100</v>
      </c>
      <c r="C56" t="s">
        <v>91</v>
      </c>
      <c r="D56" s="4">
        <v>46052</v>
      </c>
      <c r="E56" t="s">
        <v>92</v>
      </c>
      <c r="F56" s="5">
        <v>1042.6600000000001</v>
      </c>
      <c r="G56" t="s">
        <v>93</v>
      </c>
    </row>
    <row r="57" spans="1:7">
      <c r="A57" t="s">
        <v>147</v>
      </c>
      <c r="B57" t="s">
        <v>100</v>
      </c>
      <c r="C57" t="s">
        <v>115</v>
      </c>
      <c r="D57" s="4">
        <v>46143</v>
      </c>
      <c r="E57" t="s">
        <v>92</v>
      </c>
      <c r="F57" s="5">
        <v>1252.22</v>
      </c>
      <c r="G57" t="s">
        <v>148</v>
      </c>
    </row>
    <row r="58" spans="1:7">
      <c r="A58" t="s">
        <v>340</v>
      </c>
      <c r="B58" t="s">
        <v>100</v>
      </c>
      <c r="C58" t="s">
        <v>101</v>
      </c>
      <c r="D58" s="4"/>
      <c r="E58" t="s">
        <v>92</v>
      </c>
      <c r="F58" s="5">
        <v>1116.57</v>
      </c>
      <c r="G58" t="s">
        <v>107</v>
      </c>
    </row>
    <row r="59" spans="1:7">
      <c r="A59" t="s">
        <v>167</v>
      </c>
      <c r="B59" t="s">
        <v>90</v>
      </c>
      <c r="C59" t="s">
        <v>101</v>
      </c>
      <c r="D59" s="4">
        <v>45817</v>
      </c>
      <c r="E59" t="s">
        <v>116</v>
      </c>
      <c r="F59" s="5">
        <v>1120</v>
      </c>
      <c r="G59" t="s">
        <v>107</v>
      </c>
    </row>
    <row r="60" spans="1:7">
      <c r="A60" t="s">
        <v>124</v>
      </c>
      <c r="B60" t="s">
        <v>100</v>
      </c>
      <c r="C60" t="s">
        <v>115</v>
      </c>
      <c r="D60" s="4">
        <v>46009</v>
      </c>
      <c r="E60" t="s">
        <v>92</v>
      </c>
      <c r="F60" s="5">
        <v>1187.6099999999999</v>
      </c>
      <c r="G60" t="s">
        <v>107</v>
      </c>
    </row>
    <row r="61" spans="1:7">
      <c r="A61" t="s">
        <v>304</v>
      </c>
      <c r="B61" t="s">
        <v>90</v>
      </c>
      <c r="C61" t="s">
        <v>110</v>
      </c>
      <c r="D61" s="4">
        <v>45911</v>
      </c>
      <c r="E61" t="s">
        <v>116</v>
      </c>
      <c r="F61" s="5">
        <v>874.8</v>
      </c>
      <c r="G61" t="s">
        <v>107</v>
      </c>
    </row>
    <row r="62" spans="1:7">
      <c r="A62" t="s">
        <v>304</v>
      </c>
      <c r="B62" t="s">
        <v>90</v>
      </c>
      <c r="C62" t="s">
        <v>110</v>
      </c>
      <c r="D62" s="4">
        <v>45911</v>
      </c>
      <c r="E62" t="s">
        <v>116</v>
      </c>
      <c r="F62" s="5">
        <v>874.8</v>
      </c>
      <c r="G62" t="s">
        <v>107</v>
      </c>
    </row>
    <row r="63" spans="1:7">
      <c r="A63" t="s">
        <v>262</v>
      </c>
      <c r="B63" t="s">
        <v>90</v>
      </c>
      <c r="C63" t="s">
        <v>95</v>
      </c>
      <c r="D63" s="4">
        <v>45928</v>
      </c>
      <c r="E63" t="s">
        <v>92</v>
      </c>
      <c r="F63" s="5">
        <v>816.32</v>
      </c>
      <c r="G63" t="s">
        <v>93</v>
      </c>
    </row>
    <row r="64" spans="1:7">
      <c r="A64" t="s">
        <v>194</v>
      </c>
      <c r="B64" t="s">
        <v>90</v>
      </c>
      <c r="C64" t="s">
        <v>95</v>
      </c>
      <c r="D64" s="4">
        <v>45945</v>
      </c>
      <c r="E64" t="s">
        <v>92</v>
      </c>
      <c r="F64" s="5">
        <v>944.77</v>
      </c>
      <c r="G64" t="s">
        <v>93</v>
      </c>
    </row>
    <row r="65" spans="1:7">
      <c r="A65" t="s">
        <v>164</v>
      </c>
      <c r="B65" t="s">
        <v>100</v>
      </c>
      <c r="C65" t="s">
        <v>101</v>
      </c>
      <c r="D65" s="4">
        <v>45774</v>
      </c>
      <c r="F65" s="5">
        <v>1155.73</v>
      </c>
      <c r="G65" t="s">
        <v>107</v>
      </c>
    </row>
    <row r="66" spans="1:7">
      <c r="A66" t="s">
        <v>375</v>
      </c>
      <c r="B66" t="s">
        <v>90</v>
      </c>
      <c r="C66" t="s">
        <v>91</v>
      </c>
      <c r="D66" s="4">
        <v>45682</v>
      </c>
      <c r="E66" t="s">
        <v>102</v>
      </c>
      <c r="F66" s="5">
        <v>1014.93</v>
      </c>
      <c r="G66" t="s">
        <v>93</v>
      </c>
    </row>
    <row r="67" spans="1:7">
      <c r="A67" t="s">
        <v>229</v>
      </c>
      <c r="B67" t="s">
        <v>90</v>
      </c>
      <c r="C67" t="s">
        <v>115</v>
      </c>
      <c r="D67" s="4">
        <v>45918</v>
      </c>
      <c r="E67" t="s">
        <v>92</v>
      </c>
      <c r="F67" s="5">
        <v>1186.5</v>
      </c>
      <c r="G67" t="s">
        <v>148</v>
      </c>
    </row>
    <row r="68" spans="1:7">
      <c r="A68" t="s">
        <v>149</v>
      </c>
      <c r="B68" t="s">
        <v>100</v>
      </c>
      <c r="C68" t="s">
        <v>97</v>
      </c>
      <c r="D68" s="4">
        <v>46162</v>
      </c>
      <c r="E68" t="s">
        <v>92</v>
      </c>
      <c r="F68" s="5">
        <v>887.69</v>
      </c>
      <c r="G68" t="s">
        <v>104</v>
      </c>
    </row>
    <row r="69" spans="1:7">
      <c r="A69" t="s">
        <v>347</v>
      </c>
      <c r="B69" t="s">
        <v>90</v>
      </c>
      <c r="C69" t="s">
        <v>101</v>
      </c>
      <c r="D69" s="4">
        <v>46127</v>
      </c>
      <c r="E69" t="s">
        <v>92</v>
      </c>
      <c r="F69" s="5">
        <v>1164.8599999999999</v>
      </c>
      <c r="G69" t="s">
        <v>104</v>
      </c>
    </row>
    <row r="70" spans="1:7">
      <c r="A70" t="s">
        <v>264</v>
      </c>
      <c r="C70" t="s">
        <v>97</v>
      </c>
      <c r="D70" s="4">
        <v>45881</v>
      </c>
      <c r="E70" t="s">
        <v>116</v>
      </c>
      <c r="F70" s="5">
        <v>865.04</v>
      </c>
      <c r="G70" t="s">
        <v>107</v>
      </c>
    </row>
    <row r="71" spans="1:7">
      <c r="A71" t="s">
        <v>231</v>
      </c>
      <c r="B71" t="s">
        <v>90</v>
      </c>
      <c r="C71" t="s">
        <v>110</v>
      </c>
      <c r="D71" s="4">
        <v>45878</v>
      </c>
      <c r="E71" t="s">
        <v>92</v>
      </c>
      <c r="F71" s="5">
        <v>794.13</v>
      </c>
      <c r="G71" t="s">
        <v>107</v>
      </c>
    </row>
    <row r="72" spans="1:7">
      <c r="A72" t="s">
        <v>231</v>
      </c>
      <c r="B72" t="s">
        <v>90</v>
      </c>
      <c r="C72" t="s">
        <v>110</v>
      </c>
      <c r="D72" s="4">
        <v>45878</v>
      </c>
      <c r="E72" t="s">
        <v>92</v>
      </c>
      <c r="F72" s="5">
        <v>794.13</v>
      </c>
      <c r="G72" t="s">
        <v>107</v>
      </c>
    </row>
    <row r="73" spans="1:7">
      <c r="A73" t="s">
        <v>219</v>
      </c>
      <c r="B73" t="s">
        <v>90</v>
      </c>
      <c r="C73" t="s">
        <v>101</v>
      </c>
      <c r="D73" s="4">
        <v>46102</v>
      </c>
      <c r="E73" t="s">
        <v>102</v>
      </c>
      <c r="F73" s="5"/>
      <c r="G73" t="s">
        <v>107</v>
      </c>
    </row>
    <row r="74" spans="1:7">
      <c r="A74" t="s">
        <v>279</v>
      </c>
      <c r="B74" t="s">
        <v>100</v>
      </c>
      <c r="C74" t="s">
        <v>115</v>
      </c>
      <c r="D74" s="4">
        <v>46113</v>
      </c>
      <c r="E74" t="s">
        <v>92</v>
      </c>
      <c r="F74" s="5">
        <v>1046.94</v>
      </c>
      <c r="G74" t="s">
        <v>93</v>
      </c>
    </row>
    <row r="75" spans="1:7">
      <c r="A75" t="s">
        <v>243</v>
      </c>
      <c r="B75" t="s">
        <v>100</v>
      </c>
      <c r="C75" t="s">
        <v>115</v>
      </c>
      <c r="D75" s="4">
        <v>46196</v>
      </c>
      <c r="E75" t="s">
        <v>116</v>
      </c>
      <c r="F75" s="5">
        <v>1111.25</v>
      </c>
      <c r="G75" t="s">
        <v>93</v>
      </c>
    </row>
    <row r="76" spans="1:7">
      <c r="A76" t="s">
        <v>156</v>
      </c>
      <c r="B76" t="s">
        <v>157</v>
      </c>
      <c r="D76" s="4">
        <v>45896</v>
      </c>
      <c r="E76" t="s">
        <v>116</v>
      </c>
      <c r="F76" s="5">
        <v>833.87</v>
      </c>
      <c r="G76" t="s">
        <v>107</v>
      </c>
    </row>
    <row r="77" spans="1:7">
      <c r="A77" t="s">
        <v>356</v>
      </c>
      <c r="B77" t="s">
        <v>90</v>
      </c>
      <c r="C77" t="s">
        <v>115</v>
      </c>
      <c r="D77" s="4">
        <v>45952</v>
      </c>
      <c r="E77" t="s">
        <v>102</v>
      </c>
      <c r="F77" s="5">
        <v>1244.6400000000001</v>
      </c>
      <c r="G77" t="s">
        <v>93</v>
      </c>
    </row>
    <row r="78" spans="1:7">
      <c r="A78" t="s">
        <v>247</v>
      </c>
      <c r="B78" t="s">
        <v>90</v>
      </c>
      <c r="C78" t="s">
        <v>91</v>
      </c>
      <c r="D78" s="4">
        <v>45842</v>
      </c>
      <c r="E78" t="s">
        <v>92</v>
      </c>
      <c r="F78" s="5">
        <v>1080.26</v>
      </c>
      <c r="G78" t="s">
        <v>107</v>
      </c>
    </row>
    <row r="79" spans="1:7">
      <c r="A79" t="s">
        <v>171</v>
      </c>
      <c r="B79" t="s">
        <v>100</v>
      </c>
      <c r="C79" t="s">
        <v>110</v>
      </c>
      <c r="D79" s="4">
        <v>45898</v>
      </c>
      <c r="E79" t="s">
        <v>92</v>
      </c>
      <c r="F79" s="5">
        <v>866.01</v>
      </c>
      <c r="G79" t="s">
        <v>107</v>
      </c>
    </row>
    <row r="80" spans="1:7">
      <c r="A80" t="s">
        <v>150</v>
      </c>
      <c r="B80" t="s">
        <v>90</v>
      </c>
      <c r="C80" t="s">
        <v>91</v>
      </c>
      <c r="D80" s="4">
        <v>46184</v>
      </c>
      <c r="E80" t="s">
        <v>116</v>
      </c>
      <c r="F80" s="5">
        <v>1083.3599999999999</v>
      </c>
      <c r="G80" t="s">
        <v>107</v>
      </c>
    </row>
    <row r="81" spans="1:7">
      <c r="A81" t="s">
        <v>284</v>
      </c>
      <c r="B81" t="s">
        <v>100</v>
      </c>
      <c r="C81" t="s">
        <v>91</v>
      </c>
      <c r="D81" s="4">
        <v>45869</v>
      </c>
      <c r="E81" t="s">
        <v>116</v>
      </c>
      <c r="F81" s="5">
        <v>1083.1500000000001</v>
      </c>
      <c r="G81" t="s">
        <v>107</v>
      </c>
    </row>
    <row r="82" spans="1:7">
      <c r="A82" t="s">
        <v>345</v>
      </c>
      <c r="B82" t="s">
        <v>100</v>
      </c>
      <c r="C82" t="s">
        <v>115</v>
      </c>
      <c r="D82" s="4">
        <v>45706</v>
      </c>
      <c r="E82" t="s">
        <v>92</v>
      </c>
      <c r="F82" s="5">
        <v>1259.54</v>
      </c>
      <c r="G82" t="s">
        <v>148</v>
      </c>
    </row>
    <row r="83" spans="1:7">
      <c r="A83" t="s">
        <v>276</v>
      </c>
      <c r="B83" t="s">
        <v>90</v>
      </c>
      <c r="C83" t="s">
        <v>101</v>
      </c>
      <c r="D83" s="4">
        <v>45987</v>
      </c>
      <c r="E83" t="s">
        <v>92</v>
      </c>
      <c r="F83" s="5">
        <v>1145.76</v>
      </c>
      <c r="G83" t="s">
        <v>107</v>
      </c>
    </row>
    <row r="84" spans="1:7">
      <c r="A84" t="s">
        <v>393</v>
      </c>
      <c r="B84" t="s">
        <v>100</v>
      </c>
      <c r="C84" t="s">
        <v>110</v>
      </c>
      <c r="D84" s="4">
        <v>46075</v>
      </c>
      <c r="E84" t="s">
        <v>92</v>
      </c>
      <c r="F84" s="5">
        <v>804.04</v>
      </c>
      <c r="G84" t="s">
        <v>107</v>
      </c>
    </row>
    <row r="85" spans="1:7">
      <c r="A85" t="s">
        <v>312</v>
      </c>
      <c r="B85" t="s">
        <v>100</v>
      </c>
      <c r="C85" t="s">
        <v>115</v>
      </c>
      <c r="D85" s="4">
        <v>46039</v>
      </c>
      <c r="F85" s="5">
        <v>1146.3399999999999</v>
      </c>
      <c r="G85" t="s">
        <v>107</v>
      </c>
    </row>
    <row r="86" spans="1:7">
      <c r="A86" t="s">
        <v>361</v>
      </c>
      <c r="B86" t="s">
        <v>90</v>
      </c>
      <c r="C86" t="s">
        <v>115</v>
      </c>
      <c r="D86" s="4">
        <v>46212</v>
      </c>
      <c r="E86" t="s">
        <v>116</v>
      </c>
      <c r="F86" s="5">
        <v>1197.4000000000001</v>
      </c>
      <c r="G86" t="s">
        <v>107</v>
      </c>
    </row>
    <row r="87" spans="1:7">
      <c r="A87" t="s">
        <v>146</v>
      </c>
      <c r="B87" t="s">
        <v>90</v>
      </c>
      <c r="C87" t="s">
        <v>115</v>
      </c>
      <c r="D87" s="4">
        <v>46040</v>
      </c>
      <c r="E87" t="s">
        <v>116</v>
      </c>
      <c r="F87" s="5">
        <v>1098.3800000000001</v>
      </c>
      <c r="G87" t="s">
        <v>107</v>
      </c>
    </row>
    <row r="88" spans="1:7">
      <c r="A88" t="s">
        <v>351</v>
      </c>
      <c r="B88" t="s">
        <v>100</v>
      </c>
      <c r="C88" t="s">
        <v>97</v>
      </c>
      <c r="D88" s="4">
        <v>45854</v>
      </c>
      <c r="E88" t="s">
        <v>102</v>
      </c>
      <c r="F88" s="5">
        <v>720.2</v>
      </c>
    </row>
    <row r="89" spans="1:7">
      <c r="A89" t="s">
        <v>281</v>
      </c>
      <c r="B89" t="s">
        <v>90</v>
      </c>
      <c r="C89" t="s">
        <v>101</v>
      </c>
      <c r="D89" s="4">
        <v>46212</v>
      </c>
      <c r="E89" t="s">
        <v>92</v>
      </c>
      <c r="F89" s="5">
        <v>1156.29</v>
      </c>
      <c r="G89" t="s">
        <v>148</v>
      </c>
    </row>
    <row r="90" spans="1:7">
      <c r="A90" t="s">
        <v>306</v>
      </c>
      <c r="B90" t="s">
        <v>100</v>
      </c>
      <c r="C90" t="s">
        <v>101</v>
      </c>
      <c r="D90" s="4">
        <v>45811</v>
      </c>
      <c r="E90" t="s">
        <v>92</v>
      </c>
      <c r="F90" s="5">
        <v>1138.77</v>
      </c>
      <c r="G90" t="s">
        <v>107</v>
      </c>
    </row>
    <row r="91" spans="1:7">
      <c r="A91" t="s">
        <v>99</v>
      </c>
      <c r="B91" t="s">
        <v>100</v>
      </c>
      <c r="C91" t="s">
        <v>101</v>
      </c>
      <c r="D91" s="4">
        <v>45933</v>
      </c>
      <c r="E91" t="s">
        <v>102</v>
      </c>
      <c r="F91" s="5">
        <v>1358.18</v>
      </c>
    </row>
    <row r="92" spans="1:7">
      <c r="A92" t="s">
        <v>330</v>
      </c>
      <c r="B92" t="s">
        <v>90</v>
      </c>
      <c r="C92" t="s">
        <v>115</v>
      </c>
      <c r="D92" s="4">
        <v>45787</v>
      </c>
      <c r="E92" t="s">
        <v>92</v>
      </c>
      <c r="F92" s="5">
        <v>1103.72</v>
      </c>
      <c r="G92" t="s">
        <v>148</v>
      </c>
    </row>
    <row r="93" spans="1:7">
      <c r="A93" t="s">
        <v>106</v>
      </c>
      <c r="B93" t="s">
        <v>100</v>
      </c>
      <c r="C93" t="s">
        <v>95</v>
      </c>
      <c r="D93" s="4">
        <v>46199</v>
      </c>
      <c r="E93" t="s">
        <v>92</v>
      </c>
      <c r="F93" s="5">
        <v>968.97</v>
      </c>
      <c r="G93" t="s">
        <v>107</v>
      </c>
    </row>
    <row r="94" spans="1:7">
      <c r="A94" t="s">
        <v>263</v>
      </c>
      <c r="B94" t="s">
        <v>100</v>
      </c>
      <c r="C94" t="s">
        <v>101</v>
      </c>
      <c r="D94" s="4">
        <v>46016</v>
      </c>
      <c r="E94" t="s">
        <v>92</v>
      </c>
      <c r="F94" s="5">
        <v>1352.42</v>
      </c>
      <c r="G94" t="s">
        <v>148</v>
      </c>
    </row>
    <row r="95" spans="1:7">
      <c r="A95" t="s">
        <v>128</v>
      </c>
      <c r="B95" t="s">
        <v>90</v>
      </c>
      <c r="C95" t="s">
        <v>91</v>
      </c>
      <c r="D95" s="4">
        <v>45675</v>
      </c>
      <c r="E95" t="s">
        <v>102</v>
      </c>
      <c r="F95" s="5">
        <v>1014.23</v>
      </c>
      <c r="G95" t="s">
        <v>107</v>
      </c>
    </row>
    <row r="96" spans="1:7">
      <c r="A96" t="s">
        <v>346</v>
      </c>
      <c r="B96" t="s">
        <v>100</v>
      </c>
      <c r="C96" t="s">
        <v>91</v>
      </c>
      <c r="D96" s="4">
        <v>45774</v>
      </c>
      <c r="E96" t="s">
        <v>102</v>
      </c>
      <c r="F96" s="5">
        <v>997.33</v>
      </c>
      <c r="G96" t="s">
        <v>107</v>
      </c>
    </row>
    <row r="97" spans="1:7">
      <c r="A97" t="s">
        <v>165</v>
      </c>
      <c r="B97" t="s">
        <v>90</v>
      </c>
      <c r="C97" t="s">
        <v>115</v>
      </c>
      <c r="D97" s="4">
        <v>46115</v>
      </c>
      <c r="E97" t="s">
        <v>116</v>
      </c>
      <c r="F97" s="5">
        <v>990.07</v>
      </c>
    </row>
    <row r="98" spans="1:7">
      <c r="A98" t="s">
        <v>329</v>
      </c>
      <c r="B98" t="s">
        <v>100</v>
      </c>
      <c r="C98" t="s">
        <v>97</v>
      </c>
      <c r="D98" s="4">
        <v>46041</v>
      </c>
      <c r="E98" t="s">
        <v>102</v>
      </c>
      <c r="F98" s="5">
        <v>898.83</v>
      </c>
      <c r="G98" t="s">
        <v>107</v>
      </c>
    </row>
    <row r="99" spans="1:7">
      <c r="A99" t="s">
        <v>353</v>
      </c>
      <c r="B99" t="s">
        <v>100</v>
      </c>
      <c r="C99" t="s">
        <v>110</v>
      </c>
      <c r="D99" s="4">
        <v>46162</v>
      </c>
      <c r="E99" t="s">
        <v>92</v>
      </c>
      <c r="F99" s="5">
        <v>851.3</v>
      </c>
      <c r="G99" t="s">
        <v>107</v>
      </c>
    </row>
    <row r="100" spans="1:7">
      <c r="A100" t="s">
        <v>142</v>
      </c>
      <c r="B100" t="s">
        <v>90</v>
      </c>
      <c r="C100" t="s">
        <v>97</v>
      </c>
      <c r="D100" s="4">
        <v>46209</v>
      </c>
      <c r="E100" t="s">
        <v>92</v>
      </c>
      <c r="F100" s="5">
        <v>877.02</v>
      </c>
      <c r="G100" t="s">
        <v>93</v>
      </c>
    </row>
    <row r="101" spans="1:7">
      <c r="A101" t="s">
        <v>335</v>
      </c>
      <c r="B101" t="s">
        <v>100</v>
      </c>
      <c r="C101" t="s">
        <v>95</v>
      </c>
      <c r="D101" s="4">
        <v>45679</v>
      </c>
      <c r="E101" t="s">
        <v>102</v>
      </c>
      <c r="F101" s="5">
        <v>858.41</v>
      </c>
      <c r="G101" t="s">
        <v>107</v>
      </c>
    </row>
    <row r="102" spans="1:7">
      <c r="A102" t="s">
        <v>226</v>
      </c>
      <c r="B102" t="s">
        <v>90</v>
      </c>
      <c r="C102" t="s">
        <v>91</v>
      </c>
      <c r="D102" s="4">
        <v>45924</v>
      </c>
      <c r="E102" t="s">
        <v>116</v>
      </c>
      <c r="F102" s="5">
        <v>926.63</v>
      </c>
      <c r="G102" t="s">
        <v>227</v>
      </c>
    </row>
    <row r="103" spans="1:7">
      <c r="A103" t="s">
        <v>241</v>
      </c>
      <c r="B103" t="s">
        <v>90</v>
      </c>
      <c r="C103" t="s">
        <v>101</v>
      </c>
      <c r="D103" s="4">
        <v>46082</v>
      </c>
      <c r="E103" t="s">
        <v>242</v>
      </c>
      <c r="F103" s="5">
        <v>1222.31</v>
      </c>
      <c r="G103" t="s">
        <v>107</v>
      </c>
    </row>
    <row r="104" spans="1:7">
      <c r="A104" t="s">
        <v>160</v>
      </c>
      <c r="B104" t="s">
        <v>90</v>
      </c>
      <c r="C104" t="s">
        <v>115</v>
      </c>
      <c r="D104" s="4">
        <v>45919</v>
      </c>
      <c r="E104" t="s">
        <v>92</v>
      </c>
      <c r="F104" s="5">
        <v>1173.08</v>
      </c>
      <c r="G104" t="s">
        <v>148</v>
      </c>
    </row>
    <row r="105" spans="1:7">
      <c r="A105" t="s">
        <v>123</v>
      </c>
      <c r="B105" t="s">
        <v>100</v>
      </c>
      <c r="C105" t="s">
        <v>115</v>
      </c>
      <c r="D105" s="4"/>
      <c r="E105" t="s">
        <v>102</v>
      </c>
      <c r="F105" s="5">
        <v>1105.23</v>
      </c>
      <c r="G105" t="s">
        <v>93</v>
      </c>
    </row>
    <row r="106" spans="1:7">
      <c r="A106" t="s">
        <v>109</v>
      </c>
      <c r="B106" t="s">
        <v>100</v>
      </c>
      <c r="C106" t="s">
        <v>110</v>
      </c>
      <c r="D106" s="4">
        <v>45869</v>
      </c>
      <c r="E106" t="s">
        <v>92</v>
      </c>
      <c r="F106" s="5">
        <v>866.46</v>
      </c>
      <c r="G106" t="s">
        <v>107</v>
      </c>
    </row>
    <row r="107" spans="1:7">
      <c r="A107" t="s">
        <v>198</v>
      </c>
      <c r="B107" t="s">
        <v>100</v>
      </c>
      <c r="C107" t="s">
        <v>95</v>
      </c>
      <c r="D107" s="4">
        <v>45997</v>
      </c>
      <c r="E107" t="s">
        <v>102</v>
      </c>
      <c r="F107" s="5">
        <v>857.18</v>
      </c>
      <c r="G107" t="s">
        <v>93</v>
      </c>
    </row>
    <row r="108" spans="1:7">
      <c r="A108" t="s">
        <v>108</v>
      </c>
      <c r="B108" t="s">
        <v>90</v>
      </c>
      <c r="C108" t="s">
        <v>95</v>
      </c>
      <c r="D108" s="4">
        <v>46135</v>
      </c>
      <c r="E108" t="s">
        <v>92</v>
      </c>
      <c r="F108" s="5">
        <v>815.31</v>
      </c>
      <c r="G108" t="s">
        <v>107</v>
      </c>
    </row>
    <row r="109" spans="1:7">
      <c r="A109" t="s">
        <v>213</v>
      </c>
      <c r="B109" t="s">
        <v>90</v>
      </c>
      <c r="C109" t="s">
        <v>110</v>
      </c>
      <c r="D109" s="4">
        <v>46069</v>
      </c>
      <c r="E109" t="s">
        <v>92</v>
      </c>
      <c r="F109" s="5">
        <v>832.04</v>
      </c>
      <c r="G109" t="s">
        <v>107</v>
      </c>
    </row>
    <row r="110" spans="1:7">
      <c r="A110" t="s">
        <v>391</v>
      </c>
      <c r="B110" t="s">
        <v>90</v>
      </c>
      <c r="C110" t="s">
        <v>115</v>
      </c>
      <c r="D110" s="4">
        <v>46093</v>
      </c>
      <c r="E110" t="s">
        <v>92</v>
      </c>
      <c r="F110" s="5">
        <v>1235.1199999999999</v>
      </c>
      <c r="G110" t="s">
        <v>107</v>
      </c>
    </row>
    <row r="111" spans="1:7">
      <c r="A111" t="s">
        <v>177</v>
      </c>
      <c r="B111" t="s">
        <v>100</v>
      </c>
      <c r="C111" t="s">
        <v>91</v>
      </c>
      <c r="D111" s="4">
        <v>45846</v>
      </c>
      <c r="E111" t="s">
        <v>102</v>
      </c>
      <c r="F111" s="5">
        <v>969.17</v>
      </c>
      <c r="G111" t="s">
        <v>93</v>
      </c>
    </row>
    <row r="112" spans="1:7">
      <c r="A112" t="s">
        <v>134</v>
      </c>
      <c r="B112" t="s">
        <v>113</v>
      </c>
      <c r="C112" t="s">
        <v>115</v>
      </c>
      <c r="D112" s="4">
        <v>46189</v>
      </c>
      <c r="E112" t="s">
        <v>92</v>
      </c>
      <c r="F112" s="5">
        <v>1021.44</v>
      </c>
      <c r="G112" t="s">
        <v>107</v>
      </c>
    </row>
    <row r="113" spans="1:7">
      <c r="A113" t="s">
        <v>201</v>
      </c>
      <c r="B113" t="s">
        <v>100</v>
      </c>
      <c r="C113" t="s">
        <v>95</v>
      </c>
      <c r="D113" s="4">
        <v>46041</v>
      </c>
      <c r="E113" t="s">
        <v>116</v>
      </c>
      <c r="F113" s="5">
        <v>954.23</v>
      </c>
      <c r="G113" t="s">
        <v>107</v>
      </c>
    </row>
    <row r="114" spans="1:7">
      <c r="A114" t="s">
        <v>382</v>
      </c>
      <c r="B114" t="s">
        <v>90</v>
      </c>
      <c r="C114" t="s">
        <v>91</v>
      </c>
      <c r="D114" s="4">
        <v>45798</v>
      </c>
      <c r="E114" t="s">
        <v>102</v>
      </c>
      <c r="F114" s="5">
        <v>998.74</v>
      </c>
      <c r="G114" t="s">
        <v>107</v>
      </c>
    </row>
    <row r="115" spans="1:7">
      <c r="A115" t="s">
        <v>367</v>
      </c>
      <c r="B115" t="s">
        <v>100</v>
      </c>
      <c r="C115" t="s">
        <v>101</v>
      </c>
      <c r="D115" s="4">
        <v>46198</v>
      </c>
      <c r="E115" t="s">
        <v>102</v>
      </c>
      <c r="F115" s="5">
        <v>1246.8399999999999</v>
      </c>
      <c r="G115" t="s">
        <v>148</v>
      </c>
    </row>
    <row r="116" spans="1:7">
      <c r="A116" t="s">
        <v>289</v>
      </c>
      <c r="B116" t="s">
        <v>100</v>
      </c>
      <c r="C116" t="s">
        <v>91</v>
      </c>
      <c r="D116" s="4">
        <v>45673</v>
      </c>
      <c r="E116" t="s">
        <v>92</v>
      </c>
      <c r="F116" s="5">
        <v>984.71</v>
      </c>
      <c r="G116" t="s">
        <v>107</v>
      </c>
    </row>
    <row r="117" spans="1:7">
      <c r="A117" t="s">
        <v>287</v>
      </c>
      <c r="B117" t="s">
        <v>90</v>
      </c>
      <c r="C117" t="s">
        <v>91</v>
      </c>
      <c r="D117" s="4">
        <v>45916</v>
      </c>
      <c r="E117" t="s">
        <v>175</v>
      </c>
      <c r="F117" s="5">
        <v>893.1</v>
      </c>
      <c r="G117" t="s">
        <v>107</v>
      </c>
    </row>
    <row r="118" spans="1:7">
      <c r="A118" t="s">
        <v>385</v>
      </c>
      <c r="B118" t="s">
        <v>90</v>
      </c>
      <c r="C118" t="s">
        <v>91</v>
      </c>
      <c r="D118" s="4">
        <v>45903</v>
      </c>
      <c r="E118" t="s">
        <v>92</v>
      </c>
      <c r="F118" s="5">
        <v>951.72</v>
      </c>
      <c r="G118" t="s">
        <v>107</v>
      </c>
    </row>
    <row r="119" spans="1:7">
      <c r="A119" t="s">
        <v>390</v>
      </c>
      <c r="C119" t="s">
        <v>95</v>
      </c>
      <c r="D119" s="4">
        <v>45743</v>
      </c>
      <c r="E119" t="s">
        <v>116</v>
      </c>
      <c r="F119" s="5">
        <v>913.93</v>
      </c>
      <c r="G119" t="s">
        <v>107</v>
      </c>
    </row>
    <row r="120" spans="1:7">
      <c r="A120" t="s">
        <v>313</v>
      </c>
      <c r="B120" t="s">
        <v>100</v>
      </c>
      <c r="C120" t="s">
        <v>97</v>
      </c>
      <c r="D120" s="4"/>
      <c r="E120" t="s">
        <v>92</v>
      </c>
      <c r="F120" s="5">
        <v>899.84</v>
      </c>
      <c r="G120" t="s">
        <v>107</v>
      </c>
    </row>
    <row r="121" spans="1:7">
      <c r="A121" t="s">
        <v>274</v>
      </c>
      <c r="B121" t="s">
        <v>90</v>
      </c>
      <c r="C121" t="s">
        <v>91</v>
      </c>
      <c r="D121" s="4">
        <v>45969</v>
      </c>
      <c r="E121" t="s">
        <v>92</v>
      </c>
      <c r="F121" s="5">
        <v>1043.3</v>
      </c>
      <c r="G121" t="s">
        <v>107</v>
      </c>
    </row>
    <row r="122" spans="1:7">
      <c r="A122" t="s">
        <v>221</v>
      </c>
      <c r="B122" t="s">
        <v>100</v>
      </c>
      <c r="C122" t="s">
        <v>110</v>
      </c>
      <c r="D122" s="4"/>
      <c r="E122" t="s">
        <v>102</v>
      </c>
      <c r="F122" s="5">
        <v>717.16</v>
      </c>
      <c r="G122" t="s">
        <v>107</v>
      </c>
    </row>
    <row r="123" spans="1:7">
      <c r="A123" t="s">
        <v>89</v>
      </c>
      <c r="B123" t="s">
        <v>90</v>
      </c>
      <c r="C123" t="s">
        <v>91</v>
      </c>
      <c r="D123" s="4">
        <v>46028</v>
      </c>
      <c r="E123" t="s">
        <v>92</v>
      </c>
      <c r="F123" s="5">
        <v>1037.53</v>
      </c>
      <c r="G123" t="s">
        <v>93</v>
      </c>
    </row>
    <row r="124" spans="1:7">
      <c r="A124" t="s">
        <v>145</v>
      </c>
      <c r="B124" t="s">
        <v>90</v>
      </c>
      <c r="C124" t="s">
        <v>115</v>
      </c>
      <c r="D124" s="4">
        <v>46148</v>
      </c>
      <c r="F124" s="5">
        <v>1260.08</v>
      </c>
      <c r="G124" t="s">
        <v>104</v>
      </c>
    </row>
    <row r="125" spans="1:7">
      <c r="A125" t="s">
        <v>118</v>
      </c>
      <c r="B125" t="s">
        <v>100</v>
      </c>
      <c r="C125" t="s">
        <v>97</v>
      </c>
      <c r="D125" s="4">
        <v>45872</v>
      </c>
      <c r="E125" t="s">
        <v>116</v>
      </c>
      <c r="F125" s="5">
        <v>808.9</v>
      </c>
      <c r="G125" t="s">
        <v>107</v>
      </c>
    </row>
    <row r="126" spans="1:7">
      <c r="A126" t="s">
        <v>270</v>
      </c>
      <c r="B126" t="s">
        <v>90</v>
      </c>
      <c r="C126" t="s">
        <v>115</v>
      </c>
      <c r="D126" s="4">
        <v>45896</v>
      </c>
      <c r="E126" t="s">
        <v>92</v>
      </c>
      <c r="F126" s="5">
        <v>1204.23</v>
      </c>
      <c r="G126" t="s">
        <v>107</v>
      </c>
    </row>
    <row r="127" spans="1:7">
      <c r="A127" t="s">
        <v>314</v>
      </c>
      <c r="B127" t="s">
        <v>90</v>
      </c>
      <c r="C127" t="s">
        <v>97</v>
      </c>
      <c r="D127" s="4">
        <v>45818</v>
      </c>
      <c r="E127" t="s">
        <v>92</v>
      </c>
      <c r="F127" s="5">
        <v>792.94</v>
      </c>
      <c r="G127" t="s">
        <v>107</v>
      </c>
    </row>
    <row r="128" spans="1:7">
      <c r="A128" t="s">
        <v>282</v>
      </c>
      <c r="B128" t="s">
        <v>100</v>
      </c>
      <c r="C128" t="s">
        <v>95</v>
      </c>
      <c r="D128" s="4">
        <v>45801</v>
      </c>
      <c r="E128" t="s">
        <v>92</v>
      </c>
      <c r="F128" s="5">
        <v>989.73</v>
      </c>
      <c r="G128" t="s">
        <v>93</v>
      </c>
    </row>
    <row r="129" spans="1:7">
      <c r="A129" t="s">
        <v>239</v>
      </c>
      <c r="B129" t="s">
        <v>90</v>
      </c>
      <c r="C129" t="s">
        <v>95</v>
      </c>
      <c r="D129" s="4">
        <v>45934</v>
      </c>
      <c r="E129" t="s">
        <v>116</v>
      </c>
      <c r="F129" s="5">
        <v>864.1</v>
      </c>
      <c r="G129" t="s">
        <v>107</v>
      </c>
    </row>
    <row r="130" spans="1:7">
      <c r="A130" t="s">
        <v>379</v>
      </c>
      <c r="B130" t="s">
        <v>90</v>
      </c>
      <c r="C130" t="s">
        <v>115</v>
      </c>
      <c r="D130" s="4">
        <v>45791</v>
      </c>
      <c r="E130" t="s">
        <v>92</v>
      </c>
      <c r="F130" s="5">
        <v>1143.52</v>
      </c>
      <c r="G130" t="s">
        <v>107</v>
      </c>
    </row>
    <row r="131" spans="1:7">
      <c r="A131" t="s">
        <v>179</v>
      </c>
      <c r="B131" t="s">
        <v>100</v>
      </c>
      <c r="C131" t="s">
        <v>95</v>
      </c>
      <c r="D131" s="4">
        <v>45873</v>
      </c>
      <c r="E131" t="s">
        <v>92</v>
      </c>
      <c r="F131" s="5">
        <v>1006.17</v>
      </c>
    </row>
    <row r="132" spans="1:7">
      <c r="A132" t="s">
        <v>334</v>
      </c>
      <c r="B132" t="s">
        <v>90</v>
      </c>
      <c r="C132" t="s">
        <v>91</v>
      </c>
      <c r="D132" s="4">
        <v>45878</v>
      </c>
      <c r="E132" t="s">
        <v>92</v>
      </c>
      <c r="F132" s="5" t="s">
        <v>323</v>
      </c>
      <c r="G132" t="s">
        <v>104</v>
      </c>
    </row>
    <row r="133" spans="1:7">
      <c r="A133" t="s">
        <v>200</v>
      </c>
      <c r="B133" t="s">
        <v>90</v>
      </c>
      <c r="C133" t="s">
        <v>97</v>
      </c>
      <c r="D133" s="4">
        <v>46167</v>
      </c>
      <c r="E133" t="s">
        <v>116</v>
      </c>
      <c r="F133" s="5">
        <v>760.13</v>
      </c>
      <c r="G133" t="s">
        <v>107</v>
      </c>
    </row>
    <row r="134" spans="1:7">
      <c r="A134" t="s">
        <v>196</v>
      </c>
      <c r="B134" t="s">
        <v>90</v>
      </c>
      <c r="C134" t="s">
        <v>91</v>
      </c>
      <c r="D134" s="4">
        <v>46164</v>
      </c>
      <c r="E134" t="s">
        <v>92</v>
      </c>
      <c r="F134" s="5">
        <v>958.74</v>
      </c>
      <c r="G134" t="s">
        <v>107</v>
      </c>
    </row>
    <row r="135" spans="1:7">
      <c r="A135" t="s">
        <v>158</v>
      </c>
      <c r="B135" t="s">
        <v>100</v>
      </c>
      <c r="C135" t="s">
        <v>115</v>
      </c>
      <c r="D135" s="4">
        <v>45672</v>
      </c>
      <c r="E135" t="s">
        <v>92</v>
      </c>
      <c r="F135" s="5">
        <v>1087.06</v>
      </c>
      <c r="G135" t="s">
        <v>107</v>
      </c>
    </row>
    <row r="136" spans="1:7">
      <c r="A136" t="s">
        <v>280</v>
      </c>
      <c r="C136" t="s">
        <v>97</v>
      </c>
      <c r="D136" s="4">
        <v>45982</v>
      </c>
      <c r="E136" t="s">
        <v>116</v>
      </c>
      <c r="F136" s="5">
        <v>750.77</v>
      </c>
      <c r="G136" t="s">
        <v>107</v>
      </c>
    </row>
    <row r="137" spans="1:7">
      <c r="A137" t="s">
        <v>311</v>
      </c>
      <c r="B137" t="s">
        <v>100</v>
      </c>
      <c r="C137" t="s">
        <v>115</v>
      </c>
      <c r="D137" s="4">
        <v>45767</v>
      </c>
      <c r="E137" t="s">
        <v>92</v>
      </c>
      <c r="F137" s="5">
        <v>1101.9000000000001</v>
      </c>
      <c r="G137" t="s">
        <v>93</v>
      </c>
    </row>
    <row r="138" spans="1:7">
      <c r="A138" t="s">
        <v>296</v>
      </c>
      <c r="B138" t="s">
        <v>90</v>
      </c>
      <c r="C138" t="s">
        <v>91</v>
      </c>
      <c r="D138" s="4">
        <v>46102</v>
      </c>
      <c r="E138" t="s">
        <v>102</v>
      </c>
      <c r="F138" s="5">
        <v>901.17</v>
      </c>
      <c r="G138" t="s">
        <v>136</v>
      </c>
    </row>
    <row r="139" spans="1:7">
      <c r="A139" t="s">
        <v>143</v>
      </c>
      <c r="B139" t="s">
        <v>100</v>
      </c>
      <c r="C139" t="s">
        <v>91</v>
      </c>
      <c r="D139" s="4">
        <v>45891</v>
      </c>
      <c r="E139" t="s">
        <v>92</v>
      </c>
      <c r="F139" s="5">
        <v>954.48</v>
      </c>
      <c r="G139" t="s">
        <v>107</v>
      </c>
    </row>
    <row r="140" spans="1:7">
      <c r="A140" t="s">
        <v>161</v>
      </c>
      <c r="B140" t="s">
        <v>90</v>
      </c>
      <c r="C140" t="s">
        <v>91</v>
      </c>
      <c r="D140" s="4">
        <v>45939</v>
      </c>
      <c r="F140" s="5">
        <v>938.05</v>
      </c>
      <c r="G140" t="s">
        <v>107</v>
      </c>
    </row>
    <row r="141" spans="1:7">
      <c r="A141" t="s">
        <v>163</v>
      </c>
      <c r="B141" t="s">
        <v>100</v>
      </c>
      <c r="C141" t="s">
        <v>91</v>
      </c>
      <c r="D141" s="4">
        <v>45783</v>
      </c>
      <c r="E141" t="s">
        <v>92</v>
      </c>
      <c r="F141" s="5">
        <v>951.34</v>
      </c>
      <c r="G141" t="s">
        <v>93</v>
      </c>
    </row>
    <row r="142" spans="1:7">
      <c r="A142" t="s">
        <v>371</v>
      </c>
      <c r="B142" t="s">
        <v>100</v>
      </c>
      <c r="C142" t="s">
        <v>115</v>
      </c>
      <c r="D142" s="4">
        <v>45821</v>
      </c>
      <c r="E142" t="s">
        <v>102</v>
      </c>
      <c r="F142" s="5">
        <v>1120.7</v>
      </c>
      <c r="G142" t="s">
        <v>93</v>
      </c>
    </row>
    <row r="143" spans="1:7">
      <c r="A143" t="s">
        <v>155</v>
      </c>
      <c r="B143" t="s">
        <v>100</v>
      </c>
      <c r="C143" t="s">
        <v>115</v>
      </c>
      <c r="D143" s="4">
        <v>46101</v>
      </c>
      <c r="F143" s="5">
        <v>1137.3499999999999</v>
      </c>
      <c r="G143" t="s">
        <v>93</v>
      </c>
    </row>
    <row r="144" spans="1:7">
      <c r="A144" t="s">
        <v>380</v>
      </c>
      <c r="B144" t="s">
        <v>90</v>
      </c>
      <c r="C144" t="s">
        <v>95</v>
      </c>
      <c r="D144" s="4">
        <v>46126</v>
      </c>
      <c r="E144" t="s">
        <v>116</v>
      </c>
      <c r="F144" s="5">
        <v>910.16</v>
      </c>
      <c r="G144" t="s">
        <v>107</v>
      </c>
    </row>
    <row r="145" spans="1:7">
      <c r="A145" t="s">
        <v>300</v>
      </c>
      <c r="C145" t="s">
        <v>97</v>
      </c>
      <c r="D145" s="4">
        <v>45787</v>
      </c>
      <c r="E145" t="s">
        <v>92</v>
      </c>
      <c r="F145" s="5">
        <v>769.49</v>
      </c>
      <c r="G145" t="s">
        <v>107</v>
      </c>
    </row>
    <row r="146" spans="1:7">
      <c r="A146" t="s">
        <v>389</v>
      </c>
      <c r="B146" t="s">
        <v>90</v>
      </c>
      <c r="C146" t="s">
        <v>91</v>
      </c>
      <c r="D146" s="4">
        <v>45791</v>
      </c>
      <c r="E146" t="s">
        <v>92</v>
      </c>
      <c r="F146" s="5">
        <v>962.27</v>
      </c>
    </row>
    <row r="147" spans="1:7">
      <c r="A147" t="s">
        <v>172</v>
      </c>
      <c r="B147" t="s">
        <v>100</v>
      </c>
      <c r="C147" t="s">
        <v>97</v>
      </c>
      <c r="D147" s="4">
        <v>45772</v>
      </c>
      <c r="E147" t="s">
        <v>102</v>
      </c>
      <c r="F147" s="5">
        <v>737.5</v>
      </c>
    </row>
    <row r="148" spans="1:7">
      <c r="A148" t="s">
        <v>354</v>
      </c>
      <c r="B148" t="s">
        <v>100</v>
      </c>
      <c r="C148" t="s">
        <v>91</v>
      </c>
      <c r="D148" s="4">
        <v>45740</v>
      </c>
      <c r="E148" t="s">
        <v>92</v>
      </c>
      <c r="F148" s="5">
        <v>997.61</v>
      </c>
      <c r="G148" t="s">
        <v>93</v>
      </c>
    </row>
    <row r="149" spans="1:7">
      <c r="A149" t="s">
        <v>299</v>
      </c>
      <c r="B149" t="s">
        <v>100</v>
      </c>
      <c r="C149" t="s">
        <v>95</v>
      </c>
      <c r="D149" s="4">
        <v>46039</v>
      </c>
      <c r="E149" t="s">
        <v>92</v>
      </c>
      <c r="F149" s="5">
        <v>970.52</v>
      </c>
      <c r="G149" t="s">
        <v>107</v>
      </c>
    </row>
    <row r="150" spans="1:7">
      <c r="A150" t="s">
        <v>352</v>
      </c>
      <c r="B150" t="s">
        <v>100</v>
      </c>
      <c r="C150" t="s">
        <v>97</v>
      </c>
      <c r="D150" s="4">
        <v>45815</v>
      </c>
      <c r="E150" t="s">
        <v>92</v>
      </c>
      <c r="F150" s="5">
        <v>881.14</v>
      </c>
      <c r="G150" t="s">
        <v>107</v>
      </c>
    </row>
    <row r="151" spans="1:7">
      <c r="A151" t="s">
        <v>140</v>
      </c>
      <c r="B151" t="s">
        <v>90</v>
      </c>
      <c r="C151" t="s">
        <v>110</v>
      </c>
      <c r="D151" s="4">
        <v>45675</v>
      </c>
      <c r="E151" t="s">
        <v>92</v>
      </c>
      <c r="F151" s="5">
        <v>803.55</v>
      </c>
      <c r="G151" t="s">
        <v>107</v>
      </c>
    </row>
    <row r="152" spans="1:7">
      <c r="A152" t="s">
        <v>363</v>
      </c>
      <c r="B152" t="s">
        <v>90</v>
      </c>
      <c r="C152" t="s">
        <v>97</v>
      </c>
      <c r="D152" s="4">
        <v>45767</v>
      </c>
      <c r="E152" t="s">
        <v>102</v>
      </c>
      <c r="F152" s="5">
        <v>830.91</v>
      </c>
      <c r="G152" t="s">
        <v>93</v>
      </c>
    </row>
    <row r="153" spans="1:7">
      <c r="A153" t="s">
        <v>253</v>
      </c>
      <c r="B153" t="s">
        <v>100</v>
      </c>
      <c r="C153" t="s">
        <v>115</v>
      </c>
      <c r="D153" s="4">
        <v>45884</v>
      </c>
      <c r="E153" t="s">
        <v>92</v>
      </c>
      <c r="F153" s="5">
        <v>1178.9000000000001</v>
      </c>
      <c r="G153" t="s">
        <v>107</v>
      </c>
    </row>
    <row r="154" spans="1:7">
      <c r="A154" t="s">
        <v>237</v>
      </c>
      <c r="B154" t="s">
        <v>90</v>
      </c>
      <c r="C154" t="s">
        <v>91</v>
      </c>
      <c r="D154" s="4">
        <v>45907</v>
      </c>
      <c r="E154" t="s">
        <v>92</v>
      </c>
      <c r="F154" s="5">
        <v>1073.8399999999999</v>
      </c>
      <c r="G154" t="s">
        <v>107</v>
      </c>
    </row>
    <row r="155" spans="1:7">
      <c r="A155" t="s">
        <v>277</v>
      </c>
      <c r="B155" t="s">
        <v>100</v>
      </c>
      <c r="D155" s="4">
        <v>46011</v>
      </c>
      <c r="E155" t="s">
        <v>92</v>
      </c>
      <c r="F155" s="5">
        <v>981.21</v>
      </c>
      <c r="G155" t="s">
        <v>107</v>
      </c>
    </row>
    <row r="156" spans="1:7">
      <c r="A156" t="s">
        <v>275</v>
      </c>
      <c r="B156" t="s">
        <v>100</v>
      </c>
      <c r="D156" s="4">
        <v>46067</v>
      </c>
      <c r="E156" t="s">
        <v>116</v>
      </c>
      <c r="F156" s="5">
        <v>1036.3800000000001</v>
      </c>
      <c r="G156" t="s">
        <v>93</v>
      </c>
    </row>
    <row r="157" spans="1:7">
      <c r="A157" t="s">
        <v>387</v>
      </c>
      <c r="B157" t="s">
        <v>100</v>
      </c>
      <c r="C157" t="s">
        <v>115</v>
      </c>
      <c r="D157" s="4">
        <v>45748</v>
      </c>
      <c r="E157" t="s">
        <v>102</v>
      </c>
      <c r="F157" s="5">
        <v>1068.25</v>
      </c>
      <c r="G157" t="s">
        <v>107</v>
      </c>
    </row>
    <row r="158" spans="1:7">
      <c r="A158" t="s">
        <v>384</v>
      </c>
      <c r="B158" t="s">
        <v>90</v>
      </c>
      <c r="C158" t="s">
        <v>101</v>
      </c>
      <c r="D158" s="4">
        <v>46209</v>
      </c>
      <c r="F158" s="5">
        <v>1105.49</v>
      </c>
      <c r="G158" t="s">
        <v>148</v>
      </c>
    </row>
    <row r="159" spans="1:7">
      <c r="A159" t="s">
        <v>112</v>
      </c>
      <c r="B159" t="s">
        <v>90</v>
      </c>
      <c r="C159" t="s">
        <v>97</v>
      </c>
      <c r="D159" s="4">
        <v>46006</v>
      </c>
      <c r="E159" t="s">
        <v>102</v>
      </c>
      <c r="F159" s="5" t="s">
        <v>113</v>
      </c>
      <c r="G159" t="s">
        <v>107</v>
      </c>
    </row>
    <row r="160" spans="1:7">
      <c r="A160" t="s">
        <v>322</v>
      </c>
      <c r="B160" t="s">
        <v>100</v>
      </c>
      <c r="C160" t="s">
        <v>323</v>
      </c>
      <c r="D160" s="4">
        <v>45683</v>
      </c>
      <c r="F160" s="5">
        <v>738.48</v>
      </c>
      <c r="G160" t="s">
        <v>107</v>
      </c>
    </row>
    <row r="161" spans="1:7">
      <c r="A161" t="s">
        <v>368</v>
      </c>
      <c r="B161" t="s">
        <v>100</v>
      </c>
      <c r="C161" t="s">
        <v>95</v>
      </c>
      <c r="D161" s="4" t="s">
        <v>323</v>
      </c>
      <c r="E161" t="s">
        <v>92</v>
      </c>
      <c r="F161" s="5">
        <v>817.84</v>
      </c>
      <c r="G161" t="s">
        <v>104</v>
      </c>
    </row>
    <row r="162" spans="1:7">
      <c r="A162" t="s">
        <v>337</v>
      </c>
      <c r="B162" t="s">
        <v>90</v>
      </c>
      <c r="C162" t="s">
        <v>115</v>
      </c>
      <c r="D162" s="4">
        <v>46092</v>
      </c>
      <c r="E162" t="s">
        <v>92</v>
      </c>
      <c r="F162" s="5">
        <v>1071.8800000000001</v>
      </c>
      <c r="G162" t="s">
        <v>148</v>
      </c>
    </row>
    <row r="163" spans="1:7">
      <c r="A163" t="s">
        <v>141</v>
      </c>
      <c r="B163" t="s">
        <v>100</v>
      </c>
      <c r="C163" t="s">
        <v>91</v>
      </c>
      <c r="D163" s="4">
        <v>45920</v>
      </c>
      <c r="E163" t="s">
        <v>116</v>
      </c>
      <c r="F163" s="5">
        <v>1021.08</v>
      </c>
      <c r="G163" t="s">
        <v>104</v>
      </c>
    </row>
    <row r="164" spans="1:7">
      <c r="A164" t="s">
        <v>103</v>
      </c>
      <c r="B164" t="s">
        <v>90</v>
      </c>
      <c r="C164" t="s">
        <v>97</v>
      </c>
      <c r="D164" s="4">
        <v>45826</v>
      </c>
      <c r="E164" t="s">
        <v>102</v>
      </c>
      <c r="F164" s="5">
        <v>761.3</v>
      </c>
      <c r="G164" t="s">
        <v>104</v>
      </c>
    </row>
    <row r="165" spans="1:7">
      <c r="A165" t="s">
        <v>195</v>
      </c>
      <c r="B165" t="s">
        <v>90</v>
      </c>
      <c r="C165" t="s">
        <v>115</v>
      </c>
      <c r="D165" s="4">
        <v>45752</v>
      </c>
      <c r="E165" t="s">
        <v>92</v>
      </c>
      <c r="F165" s="5">
        <v>1020.21</v>
      </c>
      <c r="G165" t="s">
        <v>107</v>
      </c>
    </row>
    <row r="166" spans="1:7">
      <c r="A166" t="s">
        <v>395</v>
      </c>
      <c r="B166" t="s">
        <v>100</v>
      </c>
      <c r="C166" t="s">
        <v>95</v>
      </c>
      <c r="D166" s="4">
        <v>45981</v>
      </c>
      <c r="E166" t="s">
        <v>102</v>
      </c>
      <c r="F166" s="5">
        <v>886.5</v>
      </c>
      <c r="G166" t="s">
        <v>107</v>
      </c>
    </row>
    <row r="167" spans="1:7">
      <c r="A167" t="s">
        <v>319</v>
      </c>
      <c r="B167" t="s">
        <v>90</v>
      </c>
      <c r="C167" t="s">
        <v>115</v>
      </c>
      <c r="D167" s="4">
        <v>45987</v>
      </c>
      <c r="E167" t="s">
        <v>116</v>
      </c>
      <c r="F167" s="5">
        <v>1019.28</v>
      </c>
      <c r="G167" t="s">
        <v>107</v>
      </c>
    </row>
    <row r="168" spans="1:7">
      <c r="A168" t="s">
        <v>138</v>
      </c>
      <c r="B168" t="s">
        <v>100</v>
      </c>
      <c r="C168" t="s">
        <v>91</v>
      </c>
      <c r="D168" s="4"/>
      <c r="E168" t="s">
        <v>92</v>
      </c>
      <c r="F168" s="5">
        <v>1057.9100000000001</v>
      </c>
      <c r="G168" t="s">
        <v>107</v>
      </c>
    </row>
    <row r="169" spans="1:7">
      <c r="A169" t="s">
        <v>383</v>
      </c>
      <c r="C169" t="s">
        <v>91</v>
      </c>
      <c r="D169" s="4">
        <v>45858</v>
      </c>
      <c r="E169" t="s">
        <v>92</v>
      </c>
      <c r="F169" s="5">
        <v>947.68</v>
      </c>
      <c r="G169" t="s">
        <v>107</v>
      </c>
    </row>
    <row r="170" spans="1:7">
      <c r="A170" t="s">
        <v>285</v>
      </c>
      <c r="B170" t="s">
        <v>90</v>
      </c>
      <c r="C170" t="s">
        <v>115</v>
      </c>
      <c r="D170" s="4"/>
      <c r="E170" t="s">
        <v>92</v>
      </c>
      <c r="F170" s="5">
        <v>1146.98</v>
      </c>
      <c r="G170" t="s">
        <v>148</v>
      </c>
    </row>
    <row r="171" spans="1:7">
      <c r="A171" t="s">
        <v>261</v>
      </c>
      <c r="B171" t="s">
        <v>90</v>
      </c>
      <c r="C171" t="s">
        <v>97</v>
      </c>
      <c r="D171" s="4">
        <v>45893</v>
      </c>
      <c r="E171" t="s">
        <v>92</v>
      </c>
      <c r="F171" s="5">
        <v>805.2</v>
      </c>
      <c r="G171" t="s">
        <v>107</v>
      </c>
    </row>
    <row r="172" spans="1:7">
      <c r="A172" t="s">
        <v>303</v>
      </c>
      <c r="B172" t="s">
        <v>90</v>
      </c>
      <c r="C172" t="s">
        <v>101</v>
      </c>
      <c r="D172" s="4">
        <v>46011</v>
      </c>
      <c r="E172" t="s">
        <v>92</v>
      </c>
      <c r="F172" s="5">
        <v>1198.92</v>
      </c>
      <c r="G172" t="s">
        <v>107</v>
      </c>
    </row>
    <row r="173" spans="1:7">
      <c r="A173" t="s">
        <v>202</v>
      </c>
      <c r="B173" t="s">
        <v>100</v>
      </c>
      <c r="C173" t="s">
        <v>91</v>
      </c>
      <c r="D173" s="4">
        <v>45842</v>
      </c>
      <c r="E173" t="s">
        <v>102</v>
      </c>
      <c r="F173" s="5"/>
      <c r="G173" t="s">
        <v>93</v>
      </c>
    </row>
    <row r="174" spans="1:7">
      <c r="A174" t="s">
        <v>244</v>
      </c>
      <c r="B174" t="s">
        <v>90</v>
      </c>
      <c r="C174" t="s">
        <v>110</v>
      </c>
      <c r="D174" s="4">
        <v>45803</v>
      </c>
      <c r="E174" t="s">
        <v>245</v>
      </c>
      <c r="F174" s="5">
        <v>734.56</v>
      </c>
      <c r="G174" t="s">
        <v>104</v>
      </c>
    </row>
    <row r="175" spans="1:7">
      <c r="A175" t="s">
        <v>223</v>
      </c>
      <c r="B175" t="s">
        <v>100</v>
      </c>
      <c r="C175" t="s">
        <v>97</v>
      </c>
      <c r="D175" s="4">
        <v>45813</v>
      </c>
      <c r="F175" s="5">
        <v>729.7</v>
      </c>
      <c r="G175" t="s">
        <v>107</v>
      </c>
    </row>
    <row r="176" spans="1:7">
      <c r="A176" t="s">
        <v>342</v>
      </c>
      <c r="B176" t="s">
        <v>100</v>
      </c>
      <c r="C176" t="s">
        <v>97</v>
      </c>
      <c r="D176" s="4">
        <v>46201</v>
      </c>
      <c r="E176" t="s">
        <v>102</v>
      </c>
      <c r="F176" s="5">
        <v>823.71</v>
      </c>
      <c r="G176" t="s">
        <v>148</v>
      </c>
    </row>
    <row r="177" spans="1:7">
      <c r="A177" t="s">
        <v>288</v>
      </c>
      <c r="B177" t="s">
        <v>90</v>
      </c>
      <c r="C177" t="s">
        <v>91</v>
      </c>
      <c r="D177" s="4">
        <v>45898</v>
      </c>
      <c r="E177" t="s">
        <v>92</v>
      </c>
      <c r="F177" s="5">
        <v>1004.89</v>
      </c>
      <c r="G177" t="s">
        <v>148</v>
      </c>
    </row>
    <row r="178" spans="1:7">
      <c r="A178" t="s">
        <v>176</v>
      </c>
      <c r="B178" t="s">
        <v>90</v>
      </c>
      <c r="C178" t="s">
        <v>95</v>
      </c>
      <c r="D178" s="4">
        <v>45982</v>
      </c>
      <c r="E178" t="s">
        <v>92</v>
      </c>
      <c r="F178" s="5">
        <v>931.58</v>
      </c>
      <c r="G178" t="s">
        <v>107</v>
      </c>
    </row>
    <row r="179" spans="1:7">
      <c r="A179" t="s">
        <v>153</v>
      </c>
      <c r="B179" t="s">
        <v>90</v>
      </c>
      <c r="C179" t="s">
        <v>97</v>
      </c>
      <c r="D179" s="4"/>
      <c r="E179" t="s">
        <v>116</v>
      </c>
      <c r="F179" s="5">
        <v>915.99</v>
      </c>
      <c r="G179" t="s">
        <v>107</v>
      </c>
    </row>
    <row r="180" spans="1:7">
      <c r="A180" t="s">
        <v>295</v>
      </c>
      <c r="B180" t="s">
        <v>100</v>
      </c>
      <c r="D180" s="4">
        <v>45976</v>
      </c>
      <c r="E180" t="s">
        <v>102</v>
      </c>
      <c r="F180" s="5">
        <v>907.19</v>
      </c>
      <c r="G180" t="s">
        <v>148</v>
      </c>
    </row>
    <row r="181" spans="1:7">
      <c r="A181" t="s">
        <v>348</v>
      </c>
      <c r="B181" t="s">
        <v>100</v>
      </c>
      <c r="C181" t="s">
        <v>97</v>
      </c>
      <c r="D181" s="4">
        <v>46175</v>
      </c>
      <c r="E181" t="s">
        <v>92</v>
      </c>
      <c r="F181" s="5">
        <v>849.2</v>
      </c>
      <c r="G181" t="s">
        <v>107</v>
      </c>
    </row>
    <row r="182" spans="1:7">
      <c r="A182" t="s">
        <v>336</v>
      </c>
      <c r="B182" t="s">
        <v>90</v>
      </c>
      <c r="C182" t="s">
        <v>91</v>
      </c>
      <c r="D182" s="4">
        <v>45881</v>
      </c>
      <c r="E182" t="s">
        <v>116</v>
      </c>
      <c r="F182" s="5">
        <v>996.32</v>
      </c>
      <c r="G182" t="s">
        <v>93</v>
      </c>
    </row>
    <row r="183" spans="1:7">
      <c r="A183" t="s">
        <v>180</v>
      </c>
      <c r="C183" t="s">
        <v>97</v>
      </c>
      <c r="D183" s="4">
        <v>46038</v>
      </c>
      <c r="E183" t="s">
        <v>92</v>
      </c>
      <c r="F183" s="5">
        <v>795</v>
      </c>
      <c r="G183" t="s">
        <v>107</v>
      </c>
    </row>
    <row r="184" spans="1:7">
      <c r="A184" t="s">
        <v>388</v>
      </c>
      <c r="B184" t="s">
        <v>90</v>
      </c>
      <c r="C184" t="s">
        <v>91</v>
      </c>
      <c r="D184" s="4">
        <v>45993</v>
      </c>
      <c r="E184" t="s">
        <v>92</v>
      </c>
      <c r="F184" s="5">
        <v>974.48</v>
      </c>
      <c r="G184" t="s">
        <v>107</v>
      </c>
    </row>
    <row r="185" spans="1:7">
      <c r="A185" t="s">
        <v>344</v>
      </c>
      <c r="B185" t="s">
        <v>90</v>
      </c>
      <c r="C185" t="s">
        <v>97</v>
      </c>
      <c r="D185" s="4">
        <v>46132</v>
      </c>
      <c r="E185" t="s">
        <v>102</v>
      </c>
      <c r="F185" s="5">
        <v>730.94</v>
      </c>
      <c r="G185" t="s">
        <v>148</v>
      </c>
    </row>
    <row r="186" spans="1:7">
      <c r="A186" t="s">
        <v>232</v>
      </c>
      <c r="B186" t="s">
        <v>90</v>
      </c>
      <c r="C186" t="s">
        <v>97</v>
      </c>
      <c r="D186" s="4">
        <v>46064</v>
      </c>
      <c r="E186" t="s">
        <v>92</v>
      </c>
      <c r="F186" s="5">
        <v>751.55</v>
      </c>
      <c r="G186" t="s">
        <v>107</v>
      </c>
    </row>
    <row r="187" spans="1:7">
      <c r="A187" t="s">
        <v>170</v>
      </c>
      <c r="B187" t="s">
        <v>100</v>
      </c>
      <c r="C187" t="s">
        <v>110</v>
      </c>
      <c r="D187" s="4">
        <v>45910</v>
      </c>
      <c r="E187" t="s">
        <v>102</v>
      </c>
      <c r="F187" s="5">
        <v>758.22</v>
      </c>
      <c r="G187" t="s">
        <v>148</v>
      </c>
    </row>
    <row r="188" spans="1:7">
      <c r="A188" t="s">
        <v>326</v>
      </c>
      <c r="B188" t="s">
        <v>90</v>
      </c>
      <c r="C188" t="s">
        <v>91</v>
      </c>
      <c r="D188" s="4">
        <v>46190</v>
      </c>
      <c r="E188" t="s">
        <v>92</v>
      </c>
      <c r="F188" s="5">
        <v>981.23</v>
      </c>
      <c r="G188" t="s">
        <v>107</v>
      </c>
    </row>
    <row r="189" spans="1:7">
      <c r="A189" t="s">
        <v>152</v>
      </c>
      <c r="B189" t="s">
        <v>100</v>
      </c>
      <c r="C189" t="s">
        <v>115</v>
      </c>
      <c r="D189" s="4">
        <v>46022</v>
      </c>
      <c r="E189" t="s">
        <v>102</v>
      </c>
      <c r="F189" s="5">
        <v>1206.44</v>
      </c>
      <c r="G189" t="s">
        <v>107</v>
      </c>
    </row>
    <row r="190" spans="1:7">
      <c r="A190" t="s">
        <v>272</v>
      </c>
      <c r="C190" t="s">
        <v>95</v>
      </c>
      <c r="D190" s="4">
        <v>45848</v>
      </c>
      <c r="E190" t="s">
        <v>92</v>
      </c>
      <c r="F190" s="5">
        <v>1027.6300000000001</v>
      </c>
      <c r="G190" t="s">
        <v>93</v>
      </c>
    </row>
    <row r="191" spans="1:7">
      <c r="A191" t="s">
        <v>357</v>
      </c>
      <c r="B191" t="s">
        <v>100</v>
      </c>
      <c r="C191" t="s">
        <v>97</v>
      </c>
      <c r="D191" s="4">
        <v>46128</v>
      </c>
      <c r="E191" t="s">
        <v>116</v>
      </c>
      <c r="F191" s="5">
        <v>914.71</v>
      </c>
      <c r="G191" t="s">
        <v>93</v>
      </c>
    </row>
    <row r="192" spans="1:7">
      <c r="A192" t="s">
        <v>187</v>
      </c>
      <c r="B192" t="s">
        <v>100</v>
      </c>
      <c r="C192" t="s">
        <v>91</v>
      </c>
      <c r="D192" s="4">
        <v>45981</v>
      </c>
      <c r="E192" t="s">
        <v>92</v>
      </c>
      <c r="F192" s="5">
        <v>887.16</v>
      </c>
      <c r="G192" t="s">
        <v>107</v>
      </c>
    </row>
    <row r="193" spans="1:7">
      <c r="A193" t="s">
        <v>260</v>
      </c>
      <c r="B193" t="s">
        <v>100</v>
      </c>
      <c r="C193" t="s">
        <v>115</v>
      </c>
      <c r="D193" s="4">
        <v>45663</v>
      </c>
      <c r="E193" t="s">
        <v>92</v>
      </c>
      <c r="F193" s="5">
        <v>1149.3</v>
      </c>
      <c r="G193" t="s">
        <v>107</v>
      </c>
    </row>
    <row r="194" spans="1:7">
      <c r="A194" t="s">
        <v>260</v>
      </c>
      <c r="B194" t="s">
        <v>100</v>
      </c>
      <c r="C194" t="s">
        <v>115</v>
      </c>
      <c r="D194" s="4">
        <v>45663</v>
      </c>
      <c r="E194" t="s">
        <v>92</v>
      </c>
      <c r="F194" s="5">
        <v>1149.3</v>
      </c>
      <c r="G194" t="s">
        <v>107</v>
      </c>
    </row>
    <row r="195" spans="1:7">
      <c r="A195" t="s">
        <v>324</v>
      </c>
      <c r="B195" t="s">
        <v>100</v>
      </c>
      <c r="C195" t="s">
        <v>91</v>
      </c>
      <c r="D195" s="4">
        <v>46025</v>
      </c>
      <c r="E195" t="s">
        <v>92</v>
      </c>
      <c r="F195" s="5">
        <v>871.11</v>
      </c>
      <c r="G195" t="s">
        <v>93</v>
      </c>
    </row>
    <row r="196" spans="1:7">
      <c r="A196" t="s">
        <v>251</v>
      </c>
      <c r="B196" t="s">
        <v>90</v>
      </c>
      <c r="D196" s="4">
        <v>46032</v>
      </c>
      <c r="E196" t="s">
        <v>116</v>
      </c>
      <c r="F196" s="5">
        <v>874.56</v>
      </c>
      <c r="G196" t="s">
        <v>107</v>
      </c>
    </row>
    <row r="197" spans="1:7">
      <c r="A197" t="s">
        <v>315</v>
      </c>
      <c r="B197" t="s">
        <v>90</v>
      </c>
      <c r="C197" t="s">
        <v>91</v>
      </c>
      <c r="D197" s="4">
        <v>46130</v>
      </c>
      <c r="E197" t="s">
        <v>92</v>
      </c>
      <c r="F197" s="5">
        <v>1059.92</v>
      </c>
      <c r="G197" t="s">
        <v>93</v>
      </c>
    </row>
    <row r="198" spans="1:7">
      <c r="A198" t="s">
        <v>212</v>
      </c>
      <c r="B198" t="s">
        <v>100</v>
      </c>
      <c r="C198" t="s">
        <v>115</v>
      </c>
      <c r="D198" s="4">
        <v>45808</v>
      </c>
      <c r="E198" t="s">
        <v>102</v>
      </c>
      <c r="F198" s="5">
        <v>1044.45</v>
      </c>
    </row>
    <row r="199" spans="1:7">
      <c r="A199" t="s">
        <v>273</v>
      </c>
      <c r="B199" t="s">
        <v>90</v>
      </c>
      <c r="C199" t="s">
        <v>101</v>
      </c>
      <c r="D199" s="4">
        <v>46057</v>
      </c>
      <c r="E199" t="s">
        <v>92</v>
      </c>
      <c r="F199" s="5">
        <v>1339.08</v>
      </c>
      <c r="G199" t="s">
        <v>107</v>
      </c>
    </row>
    <row r="200" spans="1:7">
      <c r="A200" t="s">
        <v>278</v>
      </c>
      <c r="B200" t="s">
        <v>90</v>
      </c>
      <c r="D200" s="4">
        <v>46117</v>
      </c>
      <c r="E200" t="s">
        <v>102</v>
      </c>
      <c r="F200" s="5">
        <v>777.72</v>
      </c>
      <c r="G200" t="s">
        <v>93</v>
      </c>
    </row>
    <row r="201" spans="1:7">
      <c r="A201" t="s">
        <v>209</v>
      </c>
      <c r="B201" t="s">
        <v>100</v>
      </c>
      <c r="C201" t="s">
        <v>91</v>
      </c>
      <c r="D201" s="4">
        <v>46105</v>
      </c>
      <c r="E201" t="s">
        <v>92</v>
      </c>
      <c r="F201" s="5">
        <v>871.41</v>
      </c>
      <c r="G201" t="s">
        <v>107</v>
      </c>
    </row>
    <row r="202" spans="1:7">
      <c r="A202" t="s">
        <v>338</v>
      </c>
      <c r="B202" t="s">
        <v>90</v>
      </c>
      <c r="C202" t="s">
        <v>339</v>
      </c>
      <c r="D202" s="4">
        <v>45662</v>
      </c>
      <c r="E202" t="s">
        <v>116</v>
      </c>
      <c r="F202" s="5">
        <v>1018</v>
      </c>
      <c r="G202" t="s">
        <v>107</v>
      </c>
    </row>
    <row r="203" spans="1:7">
      <c r="A203" t="s">
        <v>224</v>
      </c>
      <c r="B203" t="s">
        <v>100</v>
      </c>
      <c r="C203" t="s">
        <v>110</v>
      </c>
      <c r="D203" s="4">
        <v>46038</v>
      </c>
      <c r="E203" t="s">
        <v>116</v>
      </c>
      <c r="F203" s="5">
        <v>761.42</v>
      </c>
      <c r="G203" t="s">
        <v>107</v>
      </c>
    </row>
    <row r="204" spans="1:7">
      <c r="A204" t="s">
        <v>307</v>
      </c>
      <c r="B204" t="s">
        <v>100</v>
      </c>
      <c r="C204" t="s">
        <v>91</v>
      </c>
      <c r="D204" s="4">
        <v>45949</v>
      </c>
      <c r="E204" t="s">
        <v>92</v>
      </c>
      <c r="F204" s="5"/>
      <c r="G204" t="s">
        <v>93</v>
      </c>
    </row>
    <row r="205" spans="1:7">
      <c r="A205" t="s">
        <v>370</v>
      </c>
      <c r="B205" t="s">
        <v>100</v>
      </c>
      <c r="C205" t="s">
        <v>97</v>
      </c>
      <c r="D205" s="4">
        <v>45695</v>
      </c>
      <c r="E205" t="s">
        <v>102</v>
      </c>
      <c r="F205" s="5">
        <v>764.29</v>
      </c>
      <c r="G205" t="s">
        <v>107</v>
      </c>
    </row>
    <row r="206" spans="1:7">
      <c r="A206" t="s">
        <v>292</v>
      </c>
      <c r="B206" t="s">
        <v>90</v>
      </c>
      <c r="C206" t="s">
        <v>110</v>
      </c>
      <c r="D206" s="4">
        <v>45869</v>
      </c>
      <c r="E206" t="s">
        <v>92</v>
      </c>
      <c r="F206" s="5">
        <v>709.26</v>
      </c>
      <c r="G206" t="s">
        <v>93</v>
      </c>
    </row>
    <row r="207" spans="1:7">
      <c r="A207" t="s">
        <v>366</v>
      </c>
      <c r="B207" t="s">
        <v>100</v>
      </c>
      <c r="C207" t="s">
        <v>110</v>
      </c>
      <c r="D207" s="4">
        <v>45890</v>
      </c>
      <c r="E207" t="s">
        <v>102</v>
      </c>
      <c r="F207" s="5">
        <v>750.28</v>
      </c>
      <c r="G207" t="s">
        <v>93</v>
      </c>
    </row>
    <row r="208" spans="1:7">
      <c r="A208" t="s">
        <v>283</v>
      </c>
      <c r="B208" t="s">
        <v>100</v>
      </c>
      <c r="C208" t="s">
        <v>91</v>
      </c>
      <c r="D208" s="4"/>
      <c r="E208" t="s">
        <v>92</v>
      </c>
      <c r="F208" s="5">
        <v>958</v>
      </c>
      <c r="G208" t="s">
        <v>107</v>
      </c>
    </row>
    <row r="209" spans="1:7">
      <c r="A209" t="s">
        <v>215</v>
      </c>
      <c r="B209" t="s">
        <v>100</v>
      </c>
      <c r="C209" t="s">
        <v>95</v>
      </c>
      <c r="D209" s="4">
        <v>45830</v>
      </c>
      <c r="E209" t="s">
        <v>116</v>
      </c>
      <c r="F209" s="5">
        <v>933.95</v>
      </c>
      <c r="G209" t="s">
        <v>107</v>
      </c>
    </row>
    <row r="210" spans="1:7">
      <c r="A210" t="s">
        <v>139</v>
      </c>
      <c r="B210" t="s">
        <v>100</v>
      </c>
      <c r="C210" t="s">
        <v>115</v>
      </c>
      <c r="D210" s="4">
        <v>45733</v>
      </c>
      <c r="E210" t="s">
        <v>92</v>
      </c>
      <c r="F210" s="5">
        <v>1197.51</v>
      </c>
      <c r="G210" t="s">
        <v>93</v>
      </c>
    </row>
    <row r="211" spans="1:7">
      <c r="A211" t="s">
        <v>265</v>
      </c>
      <c r="B211" t="s">
        <v>90</v>
      </c>
      <c r="C211" t="s">
        <v>95</v>
      </c>
      <c r="D211" s="4">
        <v>46181</v>
      </c>
      <c r="E211" t="s">
        <v>92</v>
      </c>
      <c r="F211" s="5">
        <v>919.12</v>
      </c>
      <c r="G211" t="s">
        <v>107</v>
      </c>
    </row>
    <row r="212" spans="1:7">
      <c r="A212" t="s">
        <v>269</v>
      </c>
      <c r="B212" t="s">
        <v>90</v>
      </c>
      <c r="D212" s="4">
        <v>45727</v>
      </c>
      <c r="E212" t="s">
        <v>102</v>
      </c>
      <c r="F212" s="5">
        <v>964.89</v>
      </c>
      <c r="G212" t="s">
        <v>107</v>
      </c>
    </row>
    <row r="213" spans="1:7">
      <c r="A213" t="s">
        <v>364</v>
      </c>
      <c r="B213" t="s">
        <v>100</v>
      </c>
      <c r="C213" t="s">
        <v>91</v>
      </c>
      <c r="D213" s="4">
        <v>46076</v>
      </c>
      <c r="E213" t="s">
        <v>102</v>
      </c>
      <c r="F213" s="5">
        <v>920.54</v>
      </c>
      <c r="G213" t="s">
        <v>107</v>
      </c>
    </row>
    <row r="214" spans="1:7">
      <c r="A214" t="s">
        <v>355</v>
      </c>
      <c r="B214" t="s">
        <v>100</v>
      </c>
      <c r="C214" t="s">
        <v>101</v>
      </c>
      <c r="D214" s="4">
        <v>46217</v>
      </c>
      <c r="E214" t="s">
        <v>92</v>
      </c>
      <c r="F214" s="5">
        <v>1262.8800000000001</v>
      </c>
      <c r="G214" t="s">
        <v>104</v>
      </c>
    </row>
    <row r="215" spans="1:7">
      <c r="A215" t="s">
        <v>377</v>
      </c>
      <c r="B215" t="s">
        <v>90</v>
      </c>
      <c r="C215" t="s">
        <v>101</v>
      </c>
      <c r="D215" s="4">
        <v>45917</v>
      </c>
      <c r="E215" t="s">
        <v>378</v>
      </c>
      <c r="F215" s="5">
        <v>1178.08</v>
      </c>
      <c r="G215" t="s">
        <v>107</v>
      </c>
    </row>
    <row r="216" spans="1:7">
      <c r="A216" t="s">
        <v>183</v>
      </c>
      <c r="B216" t="s">
        <v>90</v>
      </c>
      <c r="C216" t="s">
        <v>91</v>
      </c>
      <c r="D216" s="4">
        <v>45929</v>
      </c>
      <c r="E216" t="s">
        <v>116</v>
      </c>
      <c r="F216" s="5">
        <v>961.52</v>
      </c>
      <c r="G216" t="s">
        <v>107</v>
      </c>
    </row>
    <row r="217" spans="1:7">
      <c r="A217" t="s">
        <v>114</v>
      </c>
      <c r="B217" t="s">
        <v>100</v>
      </c>
      <c r="C217" t="s">
        <v>115</v>
      </c>
      <c r="D217" s="4">
        <v>45724</v>
      </c>
      <c r="E217" t="s">
        <v>116</v>
      </c>
      <c r="F217" s="5">
        <v>1039.18</v>
      </c>
      <c r="G217" t="s">
        <v>117</v>
      </c>
    </row>
    <row r="218" spans="1:7">
      <c r="A218" t="s">
        <v>246</v>
      </c>
      <c r="B218" t="s">
        <v>90</v>
      </c>
      <c r="C218" t="s">
        <v>101</v>
      </c>
      <c r="D218" s="4">
        <v>45856</v>
      </c>
      <c r="F218" s="5">
        <v>1357.89</v>
      </c>
      <c r="G218" t="s">
        <v>93</v>
      </c>
    </row>
    <row r="219" spans="1:7">
      <c r="A219" t="s">
        <v>189</v>
      </c>
      <c r="B219" t="s">
        <v>100</v>
      </c>
      <c r="C219" t="s">
        <v>101</v>
      </c>
      <c r="D219" s="4">
        <v>45710</v>
      </c>
      <c r="E219" t="s">
        <v>92</v>
      </c>
      <c r="F219" s="5">
        <v>1098.67</v>
      </c>
      <c r="G219" t="s">
        <v>107</v>
      </c>
    </row>
    <row r="220" spans="1:7">
      <c r="A220" t="s">
        <v>235</v>
      </c>
      <c r="B220" t="s">
        <v>100</v>
      </c>
      <c r="C220" t="s">
        <v>115</v>
      </c>
      <c r="D220" s="4">
        <v>46012</v>
      </c>
      <c r="E220" t="s">
        <v>236</v>
      </c>
      <c r="F220" s="5">
        <v>1069.75</v>
      </c>
      <c r="G220" t="s">
        <v>107</v>
      </c>
    </row>
    <row r="221" spans="1:7">
      <c r="A221" t="s">
        <v>193</v>
      </c>
      <c r="C221" t="s">
        <v>115</v>
      </c>
      <c r="D221" s="4">
        <v>46049</v>
      </c>
      <c r="E221" t="s">
        <v>116</v>
      </c>
      <c r="F221" s="5">
        <v>1228.17</v>
      </c>
      <c r="G221" t="s">
        <v>107</v>
      </c>
    </row>
    <row r="222" spans="1:7">
      <c r="A222" t="s">
        <v>394</v>
      </c>
      <c r="B222" t="s">
        <v>90</v>
      </c>
      <c r="C222" t="s">
        <v>97</v>
      </c>
      <c r="D222" s="4">
        <v>45974</v>
      </c>
      <c r="E222" t="s">
        <v>116</v>
      </c>
      <c r="F222" s="5">
        <v>905.56</v>
      </c>
      <c r="G222" t="s">
        <v>148</v>
      </c>
    </row>
    <row r="223" spans="1:7">
      <c r="A223" t="s">
        <v>271</v>
      </c>
      <c r="B223" t="s">
        <v>90</v>
      </c>
      <c r="C223" t="s">
        <v>91</v>
      </c>
      <c r="D223" s="4">
        <v>45848</v>
      </c>
      <c r="E223" t="s">
        <v>116</v>
      </c>
      <c r="F223" s="5">
        <v>929.94</v>
      </c>
      <c r="G223" t="s">
        <v>107</v>
      </c>
    </row>
    <row r="224" spans="1:7">
      <c r="A224" t="s">
        <v>159</v>
      </c>
      <c r="B224" t="s">
        <v>90</v>
      </c>
      <c r="C224" t="s">
        <v>91</v>
      </c>
      <c r="D224" s="4">
        <v>45876</v>
      </c>
      <c r="E224" t="s">
        <v>92</v>
      </c>
      <c r="F224" s="5">
        <v>1088.1400000000001</v>
      </c>
      <c r="G224" t="s">
        <v>107</v>
      </c>
    </row>
    <row r="225" spans="1:7">
      <c r="A225" t="s">
        <v>360</v>
      </c>
      <c r="B225" t="s">
        <v>90</v>
      </c>
      <c r="C225" t="s">
        <v>97</v>
      </c>
      <c r="D225" s="4">
        <v>45872</v>
      </c>
      <c r="E225" t="s">
        <v>175</v>
      </c>
      <c r="F225" s="5">
        <v>767.19</v>
      </c>
      <c r="G225" t="s">
        <v>93</v>
      </c>
    </row>
    <row r="226" spans="1:7">
      <c r="A226" t="s">
        <v>250</v>
      </c>
      <c r="B226" t="s">
        <v>100</v>
      </c>
      <c r="C226" t="s">
        <v>115</v>
      </c>
      <c r="D226" s="4">
        <v>45678</v>
      </c>
      <c r="E226" t="s">
        <v>92</v>
      </c>
      <c r="F226" s="5">
        <v>1022.73</v>
      </c>
      <c r="G226" t="s">
        <v>104</v>
      </c>
    </row>
    <row r="227" spans="1:7">
      <c r="A227" t="s">
        <v>298</v>
      </c>
      <c r="B227" t="s">
        <v>100</v>
      </c>
      <c r="C227" t="s">
        <v>91</v>
      </c>
      <c r="D227" s="4">
        <v>45841</v>
      </c>
      <c r="E227" t="s">
        <v>102</v>
      </c>
      <c r="F227" s="5"/>
      <c r="G227" t="s">
        <v>148</v>
      </c>
    </row>
    <row r="228" spans="1:7">
      <c r="A228" t="s">
        <v>374</v>
      </c>
      <c r="B228" t="s">
        <v>90</v>
      </c>
      <c r="C228" t="s">
        <v>91</v>
      </c>
      <c r="D228" s="4"/>
      <c r="E228" t="s">
        <v>116</v>
      </c>
      <c r="F228" s="5">
        <v>900.21</v>
      </c>
      <c r="G228" t="s">
        <v>93</v>
      </c>
    </row>
    <row r="229" spans="1:7">
      <c r="A229" t="s">
        <v>349</v>
      </c>
      <c r="C229" t="s">
        <v>350</v>
      </c>
      <c r="D229" s="4">
        <v>45825</v>
      </c>
      <c r="E229" t="s">
        <v>116</v>
      </c>
      <c r="F229" s="5">
        <v>799.37</v>
      </c>
      <c r="G229" t="s">
        <v>107</v>
      </c>
    </row>
    <row r="230" spans="1:7">
      <c r="A230" t="s">
        <v>131</v>
      </c>
      <c r="B230" t="s">
        <v>100</v>
      </c>
      <c r="C230" t="s">
        <v>115</v>
      </c>
      <c r="D230" s="4">
        <v>45815</v>
      </c>
      <c r="E230" t="s">
        <v>92</v>
      </c>
      <c r="F230" s="5">
        <v>1089.42</v>
      </c>
      <c r="G230" t="s">
        <v>93</v>
      </c>
    </row>
    <row r="231" spans="1:7">
      <c r="A231" t="s">
        <v>211</v>
      </c>
      <c r="B231" t="s">
        <v>100</v>
      </c>
      <c r="C231" t="s">
        <v>97</v>
      </c>
      <c r="D231" s="4">
        <v>46168</v>
      </c>
      <c r="E231" t="s">
        <v>92</v>
      </c>
      <c r="F231" s="5"/>
      <c r="G231" t="s">
        <v>148</v>
      </c>
    </row>
    <row r="232" spans="1:7">
      <c r="A232" t="s">
        <v>258</v>
      </c>
      <c r="B232" t="s">
        <v>100</v>
      </c>
      <c r="C232" t="s">
        <v>97</v>
      </c>
      <c r="D232" s="4">
        <v>46085</v>
      </c>
      <c r="E232" t="s">
        <v>102</v>
      </c>
      <c r="F232" s="5">
        <v>801.43</v>
      </c>
      <c r="G232" t="s">
        <v>107</v>
      </c>
    </row>
    <row r="233" spans="1:7">
      <c r="A233" t="s">
        <v>320</v>
      </c>
      <c r="B233" t="s">
        <v>100</v>
      </c>
      <c r="C233" t="s">
        <v>95</v>
      </c>
      <c r="D233" s="4">
        <v>45992</v>
      </c>
      <c r="E233" t="s">
        <v>92</v>
      </c>
      <c r="F233" s="5">
        <v>946.69</v>
      </c>
      <c r="G233" t="s">
        <v>107</v>
      </c>
    </row>
    <row r="234" spans="1:7">
      <c r="A234" t="s">
        <v>207</v>
      </c>
      <c r="B234" t="s">
        <v>90</v>
      </c>
      <c r="C234" t="s">
        <v>101</v>
      </c>
      <c r="D234" s="4">
        <v>45716</v>
      </c>
      <c r="E234" t="s">
        <v>92</v>
      </c>
      <c r="F234" s="5"/>
      <c r="G234" t="s">
        <v>107</v>
      </c>
    </row>
    <row r="235" spans="1:7">
      <c r="A235" t="s">
        <v>96</v>
      </c>
      <c r="B235" t="s">
        <v>90</v>
      </c>
      <c r="C235" t="s">
        <v>97</v>
      </c>
      <c r="D235" s="4">
        <v>46161</v>
      </c>
      <c r="F235" s="5">
        <v>823.61</v>
      </c>
      <c r="G235" t="s">
        <v>93</v>
      </c>
    </row>
    <row r="236" spans="1:7">
      <c r="A236" t="s">
        <v>365</v>
      </c>
      <c r="B236" t="s">
        <v>90</v>
      </c>
      <c r="C236" t="s">
        <v>110</v>
      </c>
      <c r="D236" s="4">
        <v>46108</v>
      </c>
      <c r="E236" t="s">
        <v>92</v>
      </c>
      <c r="F236" s="5">
        <v>885.07</v>
      </c>
      <c r="G236" t="s">
        <v>107</v>
      </c>
    </row>
    <row r="237" spans="1:7">
      <c r="A237" t="s">
        <v>135</v>
      </c>
      <c r="C237" t="s">
        <v>115</v>
      </c>
      <c r="D237" s="4">
        <v>45728</v>
      </c>
      <c r="E237" t="s">
        <v>136</v>
      </c>
      <c r="F237" s="5">
        <v>1126.1199999999999</v>
      </c>
      <c r="G237" t="s">
        <v>107</v>
      </c>
    </row>
    <row r="238" spans="1:7">
      <c r="A238" t="s">
        <v>291</v>
      </c>
      <c r="B238" t="s">
        <v>90</v>
      </c>
      <c r="C238" t="s">
        <v>97</v>
      </c>
      <c r="D238" s="4">
        <v>46126</v>
      </c>
      <c r="E238" t="s">
        <v>116</v>
      </c>
      <c r="F238" s="5">
        <v>835.71</v>
      </c>
    </row>
    <row r="239" spans="1:7">
      <c r="A239" t="s">
        <v>297</v>
      </c>
      <c r="B239" t="s">
        <v>100</v>
      </c>
      <c r="C239" t="s">
        <v>115</v>
      </c>
      <c r="D239" s="4">
        <v>45831</v>
      </c>
      <c r="E239" t="s">
        <v>116</v>
      </c>
      <c r="F239" s="5">
        <v>1257.3800000000001</v>
      </c>
      <c r="G239" t="s">
        <v>107</v>
      </c>
    </row>
    <row r="240" spans="1:7">
      <c r="A240" t="s">
        <v>392</v>
      </c>
      <c r="B240" t="s">
        <v>90</v>
      </c>
      <c r="C240" t="s">
        <v>91</v>
      </c>
      <c r="D240" s="4">
        <v>45821</v>
      </c>
      <c r="E240" t="s">
        <v>102</v>
      </c>
      <c r="F240" s="5">
        <v>1014.19</v>
      </c>
      <c r="G240" t="s">
        <v>107</v>
      </c>
    </row>
    <row r="241" spans="1:7">
      <c r="A241" t="s">
        <v>105</v>
      </c>
      <c r="C241" t="s">
        <v>101</v>
      </c>
      <c r="D241" s="4">
        <v>46176</v>
      </c>
      <c r="E241" t="s">
        <v>92</v>
      </c>
      <c r="F241" s="5">
        <v>1339.88</v>
      </c>
      <c r="G241" t="s">
        <v>93</v>
      </c>
    </row>
    <row r="242" spans="1:7">
      <c r="A242" t="s">
        <v>151</v>
      </c>
      <c r="B242" t="s">
        <v>90</v>
      </c>
      <c r="C242" t="s">
        <v>97</v>
      </c>
      <c r="D242" s="4">
        <v>45718</v>
      </c>
      <c r="E242" t="s">
        <v>92</v>
      </c>
      <c r="F242" s="5">
        <v>875.13</v>
      </c>
      <c r="G242" t="s">
        <v>107</v>
      </c>
    </row>
    <row r="243" spans="1:7">
      <c r="A243" t="s">
        <v>240</v>
      </c>
      <c r="B243" t="s">
        <v>100</v>
      </c>
      <c r="D243" s="4">
        <v>46187</v>
      </c>
      <c r="E243" t="s">
        <v>92</v>
      </c>
      <c r="F243" s="5">
        <v>1180.3</v>
      </c>
      <c r="G243" t="s">
        <v>107</v>
      </c>
    </row>
    <row r="244" spans="1:7">
      <c r="A244" t="s">
        <v>228</v>
      </c>
      <c r="B244" t="s">
        <v>90</v>
      </c>
      <c r="C244" t="s">
        <v>110</v>
      </c>
      <c r="D244" s="4">
        <v>46048</v>
      </c>
      <c r="E244" t="s">
        <v>92</v>
      </c>
      <c r="F244" s="5">
        <v>816.86</v>
      </c>
      <c r="G244" t="s">
        <v>107</v>
      </c>
    </row>
    <row r="245" spans="1:7">
      <c r="A245" t="s">
        <v>238</v>
      </c>
      <c r="B245" t="s">
        <v>90</v>
      </c>
      <c r="C245" t="s">
        <v>91</v>
      </c>
      <c r="D245" s="4">
        <v>45712</v>
      </c>
      <c r="E245" t="s">
        <v>92</v>
      </c>
      <c r="F245" s="5">
        <v>988.35</v>
      </c>
      <c r="G245" t="s">
        <v>107</v>
      </c>
    </row>
    <row r="246" spans="1:7">
      <c r="A246" t="s">
        <v>214</v>
      </c>
      <c r="B246" t="s">
        <v>90</v>
      </c>
      <c r="C246" t="s">
        <v>115</v>
      </c>
      <c r="D246" s="4">
        <v>46139</v>
      </c>
      <c r="E246" t="s">
        <v>102</v>
      </c>
      <c r="F246" s="5"/>
      <c r="G246" t="s">
        <v>107</v>
      </c>
    </row>
    <row r="247" spans="1:7">
      <c r="A247" t="s">
        <v>130</v>
      </c>
      <c r="B247" t="s">
        <v>90</v>
      </c>
      <c r="C247" t="s">
        <v>101</v>
      </c>
      <c r="D247" s="4">
        <v>45886</v>
      </c>
      <c r="E247" t="s">
        <v>92</v>
      </c>
      <c r="F247" s="5">
        <v>1155.3800000000001</v>
      </c>
      <c r="G247" t="s">
        <v>107</v>
      </c>
    </row>
    <row r="248" spans="1:7">
      <c r="A248" t="s">
        <v>126</v>
      </c>
      <c r="B248" t="s">
        <v>90</v>
      </c>
      <c r="D248" s="4">
        <v>45908</v>
      </c>
      <c r="E248" t="s">
        <v>92</v>
      </c>
      <c r="F248" s="5">
        <v>974.04</v>
      </c>
      <c r="G248" t="s">
        <v>107</v>
      </c>
    </row>
    <row r="249" spans="1:7">
      <c r="A249" t="s">
        <v>381</v>
      </c>
      <c r="B249" t="s">
        <v>100</v>
      </c>
      <c r="C249" t="s">
        <v>101</v>
      </c>
      <c r="D249" s="4">
        <v>45962</v>
      </c>
      <c r="E249" t="s">
        <v>92</v>
      </c>
      <c r="F249" s="5">
        <v>1374.35</v>
      </c>
    </row>
    <row r="250" spans="1:7">
      <c r="A250" t="s">
        <v>127</v>
      </c>
      <c r="B250" t="s">
        <v>90</v>
      </c>
      <c r="C250" t="s">
        <v>101</v>
      </c>
      <c r="D250" s="4">
        <v>45987</v>
      </c>
      <c r="E250" t="s">
        <v>92</v>
      </c>
      <c r="F250" s="5">
        <v>1332.91</v>
      </c>
      <c r="G250" t="s">
        <v>107</v>
      </c>
    </row>
    <row r="251" spans="1:7">
      <c r="A251" t="s">
        <v>127</v>
      </c>
      <c r="B251" t="s">
        <v>90</v>
      </c>
      <c r="C251" t="s">
        <v>101</v>
      </c>
      <c r="D251" s="4">
        <v>45987</v>
      </c>
      <c r="E251" t="s">
        <v>92</v>
      </c>
      <c r="F251" s="5">
        <v>1332.91</v>
      </c>
      <c r="G251" t="s">
        <v>107</v>
      </c>
    </row>
    <row r="252" spans="1:7">
      <c r="A252" t="s">
        <v>216</v>
      </c>
      <c r="B252" t="s">
        <v>100</v>
      </c>
      <c r="C252" t="s">
        <v>115</v>
      </c>
      <c r="D252" s="4">
        <v>46073</v>
      </c>
      <c r="E252" t="s">
        <v>102</v>
      </c>
      <c r="F252" s="5">
        <v>1185.1400000000001</v>
      </c>
      <c r="G252" t="s">
        <v>93</v>
      </c>
    </row>
    <row r="253" spans="1:7">
      <c r="A253" t="s">
        <v>203</v>
      </c>
      <c r="B253" t="s">
        <v>90</v>
      </c>
      <c r="D253" s="4">
        <v>45786</v>
      </c>
      <c r="E253" t="s">
        <v>92</v>
      </c>
      <c r="F253" s="5">
        <v>1379.03</v>
      </c>
      <c r="G253" t="s">
        <v>107</v>
      </c>
    </row>
    <row r="254" spans="1:7">
      <c r="A254" t="s">
        <v>358</v>
      </c>
      <c r="B254" t="s">
        <v>90</v>
      </c>
      <c r="D254" s="4">
        <v>45754</v>
      </c>
      <c r="E254" t="s">
        <v>116</v>
      </c>
      <c r="F254" s="5">
        <v>1274.06</v>
      </c>
      <c r="G254" t="s">
        <v>107</v>
      </c>
    </row>
    <row r="255" spans="1:7">
      <c r="A255" t="s">
        <v>121</v>
      </c>
      <c r="B255" t="s">
        <v>122</v>
      </c>
      <c r="C255" t="s">
        <v>97</v>
      </c>
      <c r="D255" s="4">
        <v>45688</v>
      </c>
      <c r="E255" t="s">
        <v>92</v>
      </c>
      <c r="F255" s="5">
        <v>774.58</v>
      </c>
      <c r="G255" t="s">
        <v>104</v>
      </c>
    </row>
    <row r="256" spans="1:7">
      <c r="A256" t="s">
        <v>332</v>
      </c>
      <c r="B256" t="s">
        <v>90</v>
      </c>
      <c r="C256" t="s">
        <v>91</v>
      </c>
      <c r="D256" s="4">
        <v>45814</v>
      </c>
      <c r="E256" t="s">
        <v>116</v>
      </c>
      <c r="F256" s="5">
        <v>971.14</v>
      </c>
      <c r="G256" t="s">
        <v>333</v>
      </c>
    </row>
    <row r="257" spans="1:7">
      <c r="A257" t="s">
        <v>166</v>
      </c>
      <c r="B257" t="s">
        <v>90</v>
      </c>
      <c r="C257" t="s">
        <v>115</v>
      </c>
      <c r="D257" s="4"/>
      <c r="E257" t="s">
        <v>92</v>
      </c>
      <c r="F257" s="5">
        <v>1230.78</v>
      </c>
      <c r="G257" t="s">
        <v>107</v>
      </c>
    </row>
    <row r="258" spans="1:7">
      <c r="A258" t="s">
        <v>321</v>
      </c>
      <c r="B258" t="s">
        <v>100</v>
      </c>
      <c r="C258" t="s">
        <v>95</v>
      </c>
      <c r="D258" s="4">
        <v>46156</v>
      </c>
      <c r="E258" t="s">
        <v>92</v>
      </c>
      <c r="F258" s="5">
        <v>817.62</v>
      </c>
      <c r="G258" t="s">
        <v>107</v>
      </c>
    </row>
    <row r="259" spans="1:7">
      <c r="A259" t="s">
        <v>302</v>
      </c>
      <c r="B259" t="s">
        <v>100</v>
      </c>
      <c r="C259" t="s">
        <v>115</v>
      </c>
      <c r="D259" s="4">
        <v>45765</v>
      </c>
      <c r="E259" t="s">
        <v>116</v>
      </c>
      <c r="F259" s="5">
        <v>1064.78</v>
      </c>
    </row>
    <row r="260" spans="1:7">
      <c r="A260" t="s">
        <v>210</v>
      </c>
      <c r="B260" t="s">
        <v>90</v>
      </c>
      <c r="D260" s="4">
        <v>45868</v>
      </c>
      <c r="E260" t="s">
        <v>92</v>
      </c>
      <c r="F260" s="5">
        <v>720.97</v>
      </c>
      <c r="G260" t="s">
        <v>107</v>
      </c>
    </row>
    <row r="261" spans="1:7">
      <c r="A261" t="s">
        <v>168</v>
      </c>
      <c r="B261" t="s">
        <v>90</v>
      </c>
      <c r="C261" t="s">
        <v>101</v>
      </c>
      <c r="D261" s="4">
        <v>45776</v>
      </c>
      <c r="E261" t="s">
        <v>102</v>
      </c>
      <c r="F261" s="5">
        <v>1261</v>
      </c>
    </row>
    <row r="262" spans="1:7">
      <c r="A262" t="s">
        <v>327</v>
      </c>
      <c r="B262" t="s">
        <v>90</v>
      </c>
      <c r="C262" t="s">
        <v>110</v>
      </c>
      <c r="D262" s="4">
        <v>45933</v>
      </c>
      <c r="E262" t="s">
        <v>102</v>
      </c>
      <c r="F262" s="5"/>
      <c r="G262" t="s">
        <v>107</v>
      </c>
    </row>
    <row r="263" spans="1:7">
      <c r="A263" t="s">
        <v>328</v>
      </c>
      <c r="B263" t="s">
        <v>90</v>
      </c>
      <c r="C263" t="s">
        <v>101</v>
      </c>
      <c r="D263" s="4">
        <v>45847</v>
      </c>
      <c r="F263" s="5">
        <v>1127.96</v>
      </c>
      <c r="G263" t="s">
        <v>104</v>
      </c>
    </row>
    <row r="264" spans="1:7">
      <c r="A264" t="s">
        <v>204</v>
      </c>
      <c r="B264" t="s">
        <v>90</v>
      </c>
      <c r="C264" t="s">
        <v>97</v>
      </c>
      <c r="D264" s="4">
        <v>45684</v>
      </c>
      <c r="E264" t="s">
        <v>116</v>
      </c>
      <c r="F264" s="5">
        <v>860.03</v>
      </c>
      <c r="G264" t="s">
        <v>107</v>
      </c>
    </row>
    <row r="265" spans="1:7">
      <c r="A265" t="s">
        <v>268</v>
      </c>
      <c r="B265" t="s">
        <v>90</v>
      </c>
      <c r="C265" t="s">
        <v>115</v>
      </c>
      <c r="D265" s="4">
        <v>45726</v>
      </c>
      <c r="E265" t="s">
        <v>92</v>
      </c>
      <c r="F265" s="5">
        <v>1218.96</v>
      </c>
      <c r="G265" t="s">
        <v>93</v>
      </c>
    </row>
    <row r="266" spans="1:7">
      <c r="A266" t="s">
        <v>331</v>
      </c>
      <c r="B266" t="s">
        <v>90</v>
      </c>
      <c r="C266" t="s">
        <v>91</v>
      </c>
      <c r="D266" s="4">
        <v>45995</v>
      </c>
      <c r="E266" t="s">
        <v>116</v>
      </c>
      <c r="F266" s="5">
        <v>900.67</v>
      </c>
      <c r="G266" t="s">
        <v>107</v>
      </c>
    </row>
    <row r="267" spans="1:7">
      <c r="A267" t="s">
        <v>222</v>
      </c>
      <c r="B267" t="s">
        <v>100</v>
      </c>
      <c r="C267" t="s">
        <v>91</v>
      </c>
      <c r="D267" s="4">
        <v>45856</v>
      </c>
      <c r="E267" t="s">
        <v>92</v>
      </c>
      <c r="F267" s="5">
        <v>872.09</v>
      </c>
      <c r="G267" t="s">
        <v>148</v>
      </c>
    </row>
    <row r="268" spans="1:7">
      <c r="A268" t="s">
        <v>317</v>
      </c>
      <c r="B268" t="s">
        <v>90</v>
      </c>
      <c r="C268" t="s">
        <v>101</v>
      </c>
      <c r="D268" s="4"/>
      <c r="E268" t="s">
        <v>102</v>
      </c>
      <c r="F268" s="5">
        <v>1211.08</v>
      </c>
      <c r="G268" t="s">
        <v>93</v>
      </c>
    </row>
    <row r="269" spans="1:7">
      <c r="A269" t="s">
        <v>255</v>
      </c>
      <c r="B269" t="s">
        <v>100</v>
      </c>
      <c r="C269" t="s">
        <v>110</v>
      </c>
      <c r="D269" s="4">
        <v>45890</v>
      </c>
      <c r="E269" t="s">
        <v>92</v>
      </c>
      <c r="F269" s="5">
        <v>857.26</v>
      </c>
      <c r="G269" t="s">
        <v>107</v>
      </c>
    </row>
    <row r="270" spans="1:7">
      <c r="A270" t="s">
        <v>120</v>
      </c>
      <c r="B270" t="s">
        <v>100</v>
      </c>
      <c r="C270" t="s">
        <v>115</v>
      </c>
      <c r="D270" s="4">
        <v>45709</v>
      </c>
      <c r="E270" t="s">
        <v>92</v>
      </c>
      <c r="F270" s="5">
        <v>1197.05</v>
      </c>
      <c r="G270" t="s">
        <v>104</v>
      </c>
    </row>
    <row r="271" spans="1:7">
      <c r="A271" t="s">
        <v>257</v>
      </c>
      <c r="B271" t="s">
        <v>90</v>
      </c>
      <c r="C271" t="s">
        <v>91</v>
      </c>
      <c r="D271" s="4"/>
      <c r="E271" t="s">
        <v>92</v>
      </c>
      <c r="F271" s="5">
        <v>1056.72</v>
      </c>
      <c r="G271" t="s">
        <v>93</v>
      </c>
    </row>
    <row r="272" spans="1:7">
      <c r="A272" t="s">
        <v>98</v>
      </c>
      <c r="B272" t="s">
        <v>90</v>
      </c>
      <c r="C272" t="s">
        <v>91</v>
      </c>
      <c r="D272" s="4">
        <v>45829</v>
      </c>
      <c r="E272" t="s">
        <v>92</v>
      </c>
      <c r="F272" s="5">
        <v>998.42</v>
      </c>
      <c r="G272" t="s">
        <v>93</v>
      </c>
    </row>
    <row r="273" spans="1:7">
      <c r="A273" t="s">
        <v>98</v>
      </c>
      <c r="B273" t="s">
        <v>90</v>
      </c>
      <c r="C273" t="s">
        <v>91</v>
      </c>
      <c r="D273" s="4">
        <v>45829</v>
      </c>
      <c r="E273" t="s">
        <v>92</v>
      </c>
      <c r="F273" s="5">
        <v>998.42</v>
      </c>
      <c r="G273" t="s">
        <v>93</v>
      </c>
    </row>
    <row r="274" spans="1:7">
      <c r="A274" t="s">
        <v>225</v>
      </c>
      <c r="B274" t="s">
        <v>100</v>
      </c>
      <c r="C274" t="s">
        <v>101</v>
      </c>
      <c r="D274" s="4">
        <v>45940</v>
      </c>
      <c r="E274" t="s">
        <v>116</v>
      </c>
      <c r="F274" s="5">
        <v>1164.6500000000001</v>
      </c>
      <c r="G274" t="s">
        <v>107</v>
      </c>
    </row>
    <row r="275" spans="1:7">
      <c r="A275" t="s">
        <v>234</v>
      </c>
      <c r="B275" t="s">
        <v>100</v>
      </c>
      <c r="C275" t="s">
        <v>95</v>
      </c>
      <c r="D275" s="4">
        <v>45870</v>
      </c>
      <c r="E275" t="s">
        <v>102</v>
      </c>
      <c r="F275" s="5">
        <v>978.96</v>
      </c>
      <c r="G275" t="s">
        <v>93</v>
      </c>
    </row>
    <row r="276" spans="1:7">
      <c r="A276" t="s">
        <v>234</v>
      </c>
      <c r="B276" t="s">
        <v>100</v>
      </c>
      <c r="C276" t="s">
        <v>95</v>
      </c>
      <c r="D276" s="4">
        <v>45870</v>
      </c>
      <c r="E276" t="s">
        <v>136</v>
      </c>
      <c r="F276" s="5">
        <v>978.96</v>
      </c>
      <c r="G276" t="s">
        <v>93</v>
      </c>
    </row>
    <row r="277" spans="1:7">
      <c r="A277" t="s">
        <v>181</v>
      </c>
      <c r="B277" t="s">
        <v>100</v>
      </c>
      <c r="C277" t="s">
        <v>97</v>
      </c>
      <c r="D277" s="4">
        <v>45658</v>
      </c>
      <c r="E277" t="s">
        <v>92</v>
      </c>
      <c r="F277" s="5">
        <v>772.18</v>
      </c>
      <c r="G277" t="s">
        <v>107</v>
      </c>
    </row>
    <row r="278" spans="1:7">
      <c r="A278" t="s">
        <v>316</v>
      </c>
      <c r="B278" t="s">
        <v>100</v>
      </c>
      <c r="C278" t="s">
        <v>91</v>
      </c>
      <c r="D278" s="4">
        <v>45697</v>
      </c>
      <c r="E278" t="s">
        <v>92</v>
      </c>
      <c r="F278" s="5">
        <v>938.18</v>
      </c>
      <c r="G278" t="s">
        <v>107</v>
      </c>
    </row>
    <row r="279" spans="1:7">
      <c r="A279" t="s">
        <v>129</v>
      </c>
      <c r="B279" t="s">
        <v>100</v>
      </c>
      <c r="C279" t="s">
        <v>95</v>
      </c>
      <c r="D279" s="4">
        <v>45746</v>
      </c>
      <c r="E279" t="s">
        <v>116</v>
      </c>
      <c r="F279" s="5">
        <v>946.4</v>
      </c>
      <c r="G279" t="s">
        <v>93</v>
      </c>
    </row>
    <row r="280" spans="1:7">
      <c r="A280" t="s">
        <v>144</v>
      </c>
      <c r="B280" t="s">
        <v>100</v>
      </c>
      <c r="C280" t="s">
        <v>91</v>
      </c>
      <c r="D280" s="4">
        <v>45759</v>
      </c>
      <c r="E280" t="s">
        <v>92</v>
      </c>
      <c r="F280" s="5">
        <v>1065.77</v>
      </c>
      <c r="G280" t="s">
        <v>107</v>
      </c>
    </row>
    <row r="281" spans="1:7">
      <c r="A281" t="s">
        <v>199</v>
      </c>
      <c r="B281" t="s">
        <v>100</v>
      </c>
      <c r="C281" t="s">
        <v>175</v>
      </c>
      <c r="D281" s="4">
        <v>46006</v>
      </c>
      <c r="E281" t="s">
        <v>92</v>
      </c>
      <c r="F281" s="5">
        <v>936.29</v>
      </c>
    </row>
    <row r="282" spans="1:7">
      <c r="A282" t="s">
        <v>132</v>
      </c>
      <c r="C282" t="s">
        <v>91</v>
      </c>
      <c r="D282" s="4">
        <v>46063</v>
      </c>
      <c r="E282" t="s">
        <v>102</v>
      </c>
      <c r="F282" s="5">
        <v>893.95</v>
      </c>
      <c r="G282" t="s">
        <v>107</v>
      </c>
    </row>
    <row r="283" spans="1:7">
      <c r="A283" t="s">
        <v>218</v>
      </c>
      <c r="B283" t="s">
        <v>90</v>
      </c>
      <c r="C283" t="s">
        <v>95</v>
      </c>
      <c r="D283" s="4">
        <v>46208</v>
      </c>
      <c r="E283" t="s">
        <v>92</v>
      </c>
      <c r="F283" s="5">
        <v>1004.33</v>
      </c>
      <c r="G283" t="s">
        <v>93</v>
      </c>
    </row>
    <row r="284" spans="1:7">
      <c r="A284" t="s">
        <v>119</v>
      </c>
      <c r="B284" t="s">
        <v>90</v>
      </c>
      <c r="C284" t="s">
        <v>91</v>
      </c>
      <c r="D284" s="4">
        <v>45771</v>
      </c>
      <c r="E284" t="s">
        <v>92</v>
      </c>
      <c r="F284" s="5">
        <v>878.75</v>
      </c>
      <c r="G284" t="s">
        <v>107</v>
      </c>
    </row>
    <row r="285" spans="1:7">
      <c r="A285" t="s">
        <v>310</v>
      </c>
      <c r="B285" t="s">
        <v>90</v>
      </c>
      <c r="C285" t="s">
        <v>101</v>
      </c>
      <c r="D285" s="4">
        <v>46132</v>
      </c>
      <c r="E285" t="s">
        <v>102</v>
      </c>
      <c r="F285" s="5">
        <v>1136.0899999999999</v>
      </c>
      <c r="G285" t="s">
        <v>107</v>
      </c>
    </row>
    <row r="286" spans="1:7">
      <c r="A286" t="s">
        <v>359</v>
      </c>
      <c r="B286" t="s">
        <v>100</v>
      </c>
      <c r="C286" t="s">
        <v>95</v>
      </c>
      <c r="D286" s="4">
        <v>45850</v>
      </c>
      <c r="E286" t="s">
        <v>116</v>
      </c>
      <c r="F286" s="5">
        <v>810.27</v>
      </c>
      <c r="G286" t="s">
        <v>107</v>
      </c>
    </row>
    <row r="287" spans="1:7">
      <c r="B287" t="s">
        <v>90</v>
      </c>
      <c r="C287" t="s">
        <v>110</v>
      </c>
      <c r="D287" s="4">
        <v>46130</v>
      </c>
      <c r="E287" t="s">
        <v>92</v>
      </c>
      <c r="F287" s="5">
        <v>753.5</v>
      </c>
      <c r="G287" t="s">
        <v>107</v>
      </c>
    </row>
    <row r="288" spans="1:7">
      <c r="B288" t="s">
        <v>90</v>
      </c>
      <c r="C288" t="s">
        <v>110</v>
      </c>
      <c r="D288" s="4">
        <v>46193</v>
      </c>
      <c r="E288" t="s">
        <v>116</v>
      </c>
      <c r="F288" s="5">
        <v>830.35</v>
      </c>
      <c r="G288" t="s">
        <v>107</v>
      </c>
    </row>
    <row r="289" spans="2:7">
      <c r="B289" t="s">
        <v>90</v>
      </c>
      <c r="C289" t="s">
        <v>101</v>
      </c>
      <c r="D289" s="4">
        <v>45863</v>
      </c>
      <c r="E289" t="s">
        <v>102</v>
      </c>
      <c r="F289" s="5">
        <v>1233.48</v>
      </c>
      <c r="G289" t="s">
        <v>107</v>
      </c>
    </row>
    <row r="290" spans="2:7">
      <c r="B290" t="s">
        <v>100</v>
      </c>
      <c r="C290" t="s">
        <v>110</v>
      </c>
      <c r="D290" s="4">
        <v>45849</v>
      </c>
      <c r="E290" t="s">
        <v>92</v>
      </c>
      <c r="F290" s="5">
        <v>820.49</v>
      </c>
      <c r="G290" t="s">
        <v>148</v>
      </c>
    </row>
    <row r="291" spans="2:7">
      <c r="B291" t="s">
        <v>90</v>
      </c>
      <c r="C291" t="s">
        <v>91</v>
      </c>
      <c r="D291" s="4">
        <v>46071</v>
      </c>
      <c r="E291" t="s">
        <v>92</v>
      </c>
      <c r="F291" s="5">
        <v>1005.5</v>
      </c>
      <c r="G291" t="s">
        <v>93</v>
      </c>
    </row>
    <row r="292" spans="2:7">
      <c r="B292" t="s">
        <v>90</v>
      </c>
      <c r="C292" t="s">
        <v>101</v>
      </c>
      <c r="D292" s="4">
        <v>45929</v>
      </c>
      <c r="E292" t="s">
        <v>92</v>
      </c>
      <c r="F292" s="5">
        <v>1317.6</v>
      </c>
      <c r="G292" t="s">
        <v>107</v>
      </c>
    </row>
    <row r="293" spans="2:7">
      <c r="B293" t="s">
        <v>90</v>
      </c>
      <c r="C293" t="s">
        <v>97</v>
      </c>
      <c r="D293" s="4">
        <v>45965</v>
      </c>
      <c r="E293" t="s">
        <v>92</v>
      </c>
      <c r="F293" s="5">
        <v>760.42</v>
      </c>
      <c r="G293" t="s">
        <v>107</v>
      </c>
    </row>
    <row r="294" spans="2:7">
      <c r="B294" t="s">
        <v>100</v>
      </c>
      <c r="C294" t="s">
        <v>101</v>
      </c>
      <c r="D294" s="4">
        <v>46165</v>
      </c>
      <c r="E294" t="s">
        <v>116</v>
      </c>
      <c r="F294" s="5">
        <v>1219.68</v>
      </c>
      <c r="G294" t="s">
        <v>93</v>
      </c>
    </row>
    <row r="295" spans="2:7">
      <c r="B295" t="s">
        <v>100</v>
      </c>
      <c r="C295" t="s">
        <v>115</v>
      </c>
      <c r="D295" s="4">
        <v>45667</v>
      </c>
      <c r="E295" t="s">
        <v>92</v>
      </c>
      <c r="F295" s="5">
        <v>1165.03</v>
      </c>
      <c r="G295" t="s">
        <v>93</v>
      </c>
    </row>
    <row r="296" spans="2:7">
      <c r="B296" t="s">
        <v>100</v>
      </c>
      <c r="C296" t="s">
        <v>115</v>
      </c>
      <c r="D296" s="4">
        <v>46044</v>
      </c>
      <c r="E296" t="s">
        <v>102</v>
      </c>
      <c r="F296" s="5">
        <v>1005.74</v>
      </c>
      <c r="G296" t="s">
        <v>107</v>
      </c>
    </row>
    <row r="297" spans="2:7">
      <c r="B297" t="s">
        <v>100</v>
      </c>
      <c r="C297" t="s">
        <v>91</v>
      </c>
      <c r="D297" s="4">
        <v>45785</v>
      </c>
      <c r="E297" t="s">
        <v>92</v>
      </c>
      <c r="F297" s="5">
        <v>1067.4100000000001</v>
      </c>
      <c r="G297" t="s">
        <v>107</v>
      </c>
    </row>
    <row r="298" spans="2:7">
      <c r="B298" t="s">
        <v>90</v>
      </c>
      <c r="C298" t="s">
        <v>115</v>
      </c>
      <c r="D298" s="4">
        <v>45847</v>
      </c>
      <c r="E298" t="s">
        <v>116</v>
      </c>
      <c r="F298" s="5">
        <v>1068.0999999999999</v>
      </c>
      <c r="G298" t="s">
        <v>107</v>
      </c>
    </row>
    <row r="299" spans="2:7">
      <c r="B299" t="s">
        <v>100</v>
      </c>
      <c r="C299" t="s">
        <v>115</v>
      </c>
      <c r="D299" s="4">
        <v>45843</v>
      </c>
      <c r="E299" t="s">
        <v>102</v>
      </c>
      <c r="F299" s="5">
        <v>1057.04</v>
      </c>
      <c r="G299" t="s">
        <v>107</v>
      </c>
    </row>
    <row r="300" spans="2:7">
      <c r="B300" t="s">
        <v>90</v>
      </c>
      <c r="C300" t="s">
        <v>110</v>
      </c>
      <c r="D300" s="4">
        <v>46219</v>
      </c>
      <c r="E300" t="s">
        <v>102</v>
      </c>
      <c r="F300" s="5">
        <v>753.39</v>
      </c>
      <c r="G300" t="s">
        <v>107</v>
      </c>
    </row>
    <row r="301" spans="2:7">
      <c r="B301" t="s">
        <v>90</v>
      </c>
      <c r="C301" t="s">
        <v>97</v>
      </c>
      <c r="D301" s="4">
        <v>46004</v>
      </c>
      <c r="E301" t="s">
        <v>102</v>
      </c>
      <c r="F301" s="5">
        <v>901.18</v>
      </c>
      <c r="G301" t="s">
        <v>107</v>
      </c>
    </row>
  </sheetData>
  <sortState xmlns:xlrd2="http://schemas.microsoft.com/office/spreadsheetml/2017/richdata2" ref="A2:G301">
    <sortCondition ref="A1:A301"/>
  </sortState>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42772-9A83-4363-8CCD-CC1E84BF5DAE}">
  <dimension ref="A1:Z73"/>
  <sheetViews>
    <sheetView topLeftCell="A20" workbookViewId="0">
      <selection activeCell="Y56" sqref="Y56"/>
    </sheetView>
  </sheetViews>
  <sheetFormatPr defaultRowHeight="14"/>
  <cols>
    <col min="1" max="1" width="9.6640625" bestFit="1" customWidth="1"/>
    <col min="2" max="2" width="20.08203125" bestFit="1" customWidth="1"/>
    <col min="3" max="3" width="11.9140625" bestFit="1" customWidth="1"/>
    <col min="8" max="8" width="20.08203125" bestFit="1" customWidth="1"/>
    <col min="9" max="9" width="11.9140625" bestFit="1" customWidth="1"/>
    <col min="10" max="10" width="10.1640625" bestFit="1" customWidth="1"/>
    <col min="13" max="13" width="10.08203125" bestFit="1" customWidth="1"/>
    <col min="18" max="18" width="9.1640625" bestFit="1" customWidth="1"/>
    <col min="24" max="24" width="10.83203125" bestFit="1" customWidth="1"/>
    <col min="26" max="26" width="20.08203125" bestFit="1" customWidth="1"/>
  </cols>
  <sheetData>
    <row r="1" spans="1:11">
      <c r="A1" s="17" t="s">
        <v>444</v>
      </c>
      <c r="B1" s="18"/>
      <c r="C1" s="18"/>
      <c r="G1" s="16" t="s">
        <v>433</v>
      </c>
      <c r="H1" s="16"/>
      <c r="I1" s="16"/>
      <c r="J1" s="16"/>
    </row>
    <row r="2" spans="1:11">
      <c r="A2" s="18"/>
      <c r="B2" s="18"/>
      <c r="C2" s="18"/>
      <c r="G2" s="16"/>
      <c r="H2" s="16"/>
      <c r="I2" s="16"/>
      <c r="J2" s="16"/>
    </row>
    <row r="3" spans="1:11">
      <c r="A3">
        <v>1</v>
      </c>
      <c r="B3" t="s">
        <v>82</v>
      </c>
      <c r="C3">
        <f>COUNTBLANK(Enrollment_Row!A2:A301)</f>
        <v>15</v>
      </c>
      <c r="H3" t="s">
        <v>432</v>
      </c>
      <c r="I3" t="s">
        <v>434</v>
      </c>
      <c r="J3" t="s">
        <v>435</v>
      </c>
    </row>
    <row r="4" spans="1:11">
      <c r="A4">
        <v>2</v>
      </c>
      <c r="B4" t="s">
        <v>83</v>
      </c>
      <c r="C4">
        <f>COUNTBLANK(Enrollment_Row!B2:B301)</f>
        <v>15</v>
      </c>
      <c r="H4" t="s">
        <v>82</v>
      </c>
      <c r="I4">
        <v>301</v>
      </c>
      <c r="J4">
        <v>15</v>
      </c>
      <c r="K4">
        <f>I4-J4</f>
        <v>286</v>
      </c>
    </row>
    <row r="5" spans="1:11">
      <c r="A5">
        <v>3</v>
      </c>
      <c r="B5" t="s">
        <v>84</v>
      </c>
      <c r="C5">
        <f>COUNTBLANK(Enrollment_Row!C2:C301)</f>
        <v>15</v>
      </c>
      <c r="H5" t="s">
        <v>83</v>
      </c>
      <c r="I5">
        <v>301</v>
      </c>
      <c r="J5">
        <v>15</v>
      </c>
      <c r="K5">
        <f t="shared" ref="K5:K10" si="0">I5-J5</f>
        <v>286</v>
      </c>
    </row>
    <row r="6" spans="1:11">
      <c r="A6">
        <v>4</v>
      </c>
      <c r="B6" t="s">
        <v>85</v>
      </c>
      <c r="C6">
        <f>COUNTBLANK(Enrollment_Row!D2:D301)</f>
        <v>16</v>
      </c>
      <c r="H6" t="s">
        <v>84</v>
      </c>
      <c r="I6">
        <v>301</v>
      </c>
      <c r="J6">
        <v>15</v>
      </c>
      <c r="K6">
        <f t="shared" si="0"/>
        <v>286</v>
      </c>
    </row>
    <row r="7" spans="1:11">
      <c r="A7">
        <v>5</v>
      </c>
      <c r="B7" t="s">
        <v>86</v>
      </c>
      <c r="C7">
        <f>COUNTBLANK(Enrollment_Row!E2:E301)</f>
        <v>15</v>
      </c>
      <c r="H7" t="s">
        <v>85</v>
      </c>
      <c r="I7">
        <v>301</v>
      </c>
      <c r="J7">
        <v>16</v>
      </c>
      <c r="K7">
        <f t="shared" si="0"/>
        <v>285</v>
      </c>
    </row>
    <row r="8" spans="1:11">
      <c r="A8">
        <v>6</v>
      </c>
      <c r="B8" t="s">
        <v>87</v>
      </c>
      <c r="C8">
        <f>COUNTBLANK(Enrollment_Row!F2:F301)</f>
        <v>15</v>
      </c>
      <c r="H8" t="s">
        <v>86</v>
      </c>
      <c r="I8">
        <v>301</v>
      </c>
      <c r="J8">
        <v>15</v>
      </c>
      <c r="K8">
        <f t="shared" si="0"/>
        <v>286</v>
      </c>
    </row>
    <row r="9" spans="1:11">
      <c r="A9">
        <v>7</v>
      </c>
      <c r="B9" t="s">
        <v>88</v>
      </c>
      <c r="C9">
        <f>COUNTBLANK(Enrollment_Row!G2:G301)</f>
        <v>16</v>
      </c>
      <c r="H9" t="s">
        <v>87</v>
      </c>
      <c r="I9">
        <v>301</v>
      </c>
      <c r="J9">
        <v>15</v>
      </c>
      <c r="K9">
        <f t="shared" si="0"/>
        <v>286</v>
      </c>
    </row>
    <row r="10" spans="1:11">
      <c r="A10" s="16" t="s">
        <v>431</v>
      </c>
      <c r="B10" s="16"/>
      <c r="C10">
        <f>SUM(C3:C9)</f>
        <v>107</v>
      </c>
      <c r="H10" t="s">
        <v>88</v>
      </c>
      <c r="I10">
        <v>301</v>
      </c>
      <c r="J10">
        <v>16</v>
      </c>
      <c r="K10">
        <f t="shared" si="0"/>
        <v>285</v>
      </c>
    </row>
    <row r="11" spans="1:11">
      <c r="H11" s="16" t="s">
        <v>436</v>
      </c>
      <c r="I11" s="16"/>
      <c r="J11" s="16"/>
      <c r="K11">
        <f>SUM(K4:K10)</f>
        <v>2000</v>
      </c>
    </row>
    <row r="23" spans="1:19">
      <c r="A23" s="16" t="s">
        <v>437</v>
      </c>
      <c r="B23" s="16"/>
      <c r="C23" s="16"/>
      <c r="G23" s="16" t="s">
        <v>440</v>
      </c>
      <c r="H23" s="16"/>
      <c r="I23" s="16"/>
      <c r="L23" s="16" t="s">
        <v>442</v>
      </c>
      <c r="M23" s="16"/>
      <c r="N23" s="16"/>
      <c r="Q23" s="16" t="s">
        <v>446</v>
      </c>
      <c r="R23" s="16"/>
      <c r="S23" s="16"/>
    </row>
    <row r="24" spans="1:19">
      <c r="A24">
        <v>1</v>
      </c>
      <c r="B24" t="s">
        <v>100</v>
      </c>
      <c r="C24">
        <f>COUNTIF(Enrollment_Row!B2:B301,"Female")</f>
        <v>148</v>
      </c>
      <c r="G24">
        <v>1</v>
      </c>
      <c r="H24" t="s">
        <v>350</v>
      </c>
      <c r="I24">
        <f>COUNTIF(Enrollment_Row!C2:C301,"BA")</f>
        <v>1</v>
      </c>
      <c r="L24">
        <v>1</v>
      </c>
      <c r="M24" t="s">
        <v>92</v>
      </c>
      <c r="N24">
        <f>COUNTIF(Enrollment_Row!E2:E301,"Full-Time")</f>
        <v>162</v>
      </c>
      <c r="Q24">
        <v>1</v>
      </c>
      <c r="R24" t="s">
        <v>107</v>
      </c>
      <c r="S24">
        <f>COUNTIF(Enrollment_Row!G2:G301,"Active")</f>
        <v>175</v>
      </c>
    </row>
    <row r="25" spans="1:19">
      <c r="A25">
        <v>2</v>
      </c>
      <c r="B25" t="s">
        <v>90</v>
      </c>
      <c r="C25">
        <f>COUNTIF(Enrollment_Row!B2:B301,"Male")</f>
        <v>136</v>
      </c>
      <c r="G25">
        <v>2</v>
      </c>
      <c r="H25" t="s">
        <v>97</v>
      </c>
      <c r="I25">
        <f>COUNTIF(Enrollment_Row!C2:C301,"Business Administration")</f>
        <v>46</v>
      </c>
      <c r="L25">
        <v>2</v>
      </c>
      <c r="M25" t="s">
        <v>116</v>
      </c>
      <c r="N25">
        <f>COUNTIF(Enrollment_Row!E2:E301,"Part-Time")</f>
        <v>59</v>
      </c>
      <c r="Q25">
        <v>2</v>
      </c>
      <c r="R25" t="s">
        <v>148</v>
      </c>
      <c r="S25">
        <f>COUNTIF(Enrollment_Row!G2:G301,"Deferred")</f>
        <v>27</v>
      </c>
    </row>
    <row r="26" spans="1:19">
      <c r="A26">
        <v>3</v>
      </c>
      <c r="B26" t="s">
        <v>438</v>
      </c>
      <c r="C26">
        <f>COUNTIF(Enrollment_Row!B2:B301,"")</f>
        <v>15</v>
      </c>
      <c r="G26">
        <v>3</v>
      </c>
      <c r="H26" t="s">
        <v>91</v>
      </c>
      <c r="I26">
        <f>COUNTIF(Enrollment_Row!C2:C301,"Computer Science")</f>
        <v>73</v>
      </c>
      <c r="L26">
        <v>3</v>
      </c>
      <c r="M26" t="s">
        <v>102</v>
      </c>
      <c r="N26">
        <f>COUNTIF(Enrollment_Row!E2:E301,"Online")</f>
        <v>60</v>
      </c>
      <c r="Q26">
        <v>3</v>
      </c>
      <c r="R26" t="s">
        <v>93</v>
      </c>
      <c r="S26">
        <f>COUNTIF(Enrollment_Row!G2:G301,"Graduated")</f>
        <v>64</v>
      </c>
    </row>
    <row r="27" spans="1:19">
      <c r="A27">
        <v>4</v>
      </c>
      <c r="B27" t="s">
        <v>439</v>
      </c>
      <c r="C27">
        <f>COUNTIF(Enrollment_Row!B2:B301,"-")</f>
        <v>1</v>
      </c>
      <c r="G27">
        <v>4</v>
      </c>
      <c r="H27" t="s">
        <v>339</v>
      </c>
      <c r="I27">
        <f>COUNTIF(Enrollment_Row!C2:C301,"CS")</f>
        <v>1</v>
      </c>
      <c r="L27">
        <v>4</v>
      </c>
      <c r="M27" t="s">
        <v>136</v>
      </c>
      <c r="N27">
        <f>COUNTIF(Enrollment_Row!E2:E301,"N/A")</f>
        <v>2</v>
      </c>
      <c r="Q27">
        <v>4</v>
      </c>
      <c r="R27" t="s">
        <v>136</v>
      </c>
      <c r="S27">
        <f>COUNTIF(Enrollment_Row!G2:G301,"N/A")</f>
        <v>2</v>
      </c>
    </row>
    <row r="28" spans="1:19">
      <c r="A28">
        <v>5</v>
      </c>
      <c r="G28">
        <v>5</v>
      </c>
      <c r="H28" t="s">
        <v>115</v>
      </c>
      <c r="I28">
        <f>COUNTIF(Enrollment_Row!C2:C301,"Data Science")</f>
        <v>65</v>
      </c>
      <c r="L28">
        <v>5</v>
      </c>
      <c r="M28" t="s">
        <v>175</v>
      </c>
      <c r="N28">
        <f>COUNTIF(Enrollment_Row!E2:E301,"NULL")</f>
        <v>2</v>
      </c>
      <c r="Q28">
        <v>5</v>
      </c>
      <c r="R28" t="s">
        <v>104</v>
      </c>
      <c r="S28">
        <f>COUNTIF(Enrollment_Row!G2:G301,"Withdrawn")</f>
        <v>16</v>
      </c>
    </row>
    <row r="29" spans="1:19">
      <c r="A29" s="16" t="s">
        <v>441</v>
      </c>
      <c r="B29" s="16"/>
      <c r="C29">
        <f>SUM(C24:C28)</f>
        <v>300</v>
      </c>
      <c r="G29">
        <v>6</v>
      </c>
      <c r="H29" t="s">
        <v>110</v>
      </c>
      <c r="I29">
        <f>COUNTIF(Enrollment_Row!C2:C301,"Economics")</f>
        <v>25</v>
      </c>
      <c r="L29">
        <v>6</v>
      </c>
      <c r="M29" t="s">
        <v>443</v>
      </c>
      <c r="N29">
        <f>COUNTIF(Enrollment_Row!E2:E301,"")</f>
        <v>15</v>
      </c>
      <c r="Q29">
        <v>6</v>
      </c>
      <c r="R29" t="s">
        <v>447</v>
      </c>
      <c r="S29">
        <f>COUNTIF(Enrollment_Row!G2:G301,"")</f>
        <v>16</v>
      </c>
    </row>
    <row r="30" spans="1:19">
      <c r="G30">
        <v>7</v>
      </c>
      <c r="H30" t="s">
        <v>101</v>
      </c>
      <c r="I30">
        <f>COUNTIF(Enrollment_Row!C2:C301,"Engineering")</f>
        <v>37</v>
      </c>
      <c r="L30" s="16" t="s">
        <v>441</v>
      </c>
      <c r="M30" s="16"/>
      <c r="N30">
        <f>SUM(N24:N29)</f>
        <v>300</v>
      </c>
      <c r="Q30" s="16" t="s">
        <v>441</v>
      </c>
      <c r="R30" s="16"/>
      <c r="S30">
        <f>SUM(S24:S29)</f>
        <v>300</v>
      </c>
    </row>
    <row r="31" spans="1:19">
      <c r="G31">
        <v>8</v>
      </c>
      <c r="H31" t="s">
        <v>95</v>
      </c>
      <c r="I31">
        <f>COUNTIF(Enrollment_Row!C2:C301,"Public Health")</f>
        <v>35</v>
      </c>
    </row>
    <row r="32" spans="1:19">
      <c r="G32">
        <v>9</v>
      </c>
      <c r="H32" t="s">
        <v>175</v>
      </c>
      <c r="I32">
        <f>COUNTIF(Enrollment_Row!C2:C301,"NULL")</f>
        <v>1</v>
      </c>
    </row>
    <row r="33" spans="1:26">
      <c r="G33">
        <v>10</v>
      </c>
      <c r="H33" t="s">
        <v>323</v>
      </c>
      <c r="I33">
        <f>COUNTIF(Enrollment_Row!C2:C301,"Unknown")</f>
        <v>1</v>
      </c>
    </row>
    <row r="34" spans="1:26">
      <c r="G34">
        <v>11</v>
      </c>
      <c r="H34" t="s">
        <v>438</v>
      </c>
      <c r="I34">
        <f>COUNTIF(Enrollment_Row!C2:C301,"")</f>
        <v>15</v>
      </c>
    </row>
    <row r="35" spans="1:26">
      <c r="G35" s="16" t="s">
        <v>441</v>
      </c>
      <c r="H35" s="16"/>
      <c r="I35">
        <f>SUM(I24:I34)</f>
        <v>300</v>
      </c>
    </row>
    <row r="36" spans="1:26">
      <c r="A36" s="16" t="s">
        <v>445</v>
      </c>
      <c r="B36" s="16"/>
      <c r="C36" s="16"/>
    </row>
    <row r="37" spans="1:26">
      <c r="A37">
        <v>1</v>
      </c>
      <c r="B37" t="s">
        <v>100</v>
      </c>
      <c r="C37" s="10">
        <f>SUMIF(Enrollment_Row!B2:B301,"Male",Enrollment_Row!F2:F301)</f>
        <v>127920.57999999997</v>
      </c>
    </row>
    <row r="38" spans="1:26">
      <c r="A38">
        <v>2</v>
      </c>
      <c r="B38" t="s">
        <v>90</v>
      </c>
      <c r="C38" s="10">
        <f>SUMIF(Enrollment_Row!B2:B301,"Female",Enrollment_Row!F2:F301)</f>
        <v>137600.6700000001</v>
      </c>
    </row>
    <row r="39" spans="1:26">
      <c r="A39">
        <v>3</v>
      </c>
      <c r="B39" t="s">
        <v>438</v>
      </c>
      <c r="C39" s="10">
        <f>SUMIF(Enrollment_Row!B2:B301,"",Enrollment_Row!F2:F301)</f>
        <v>14380</v>
      </c>
    </row>
    <row r="40" spans="1:26">
      <c r="A40">
        <v>4</v>
      </c>
      <c r="B40" t="s">
        <v>439</v>
      </c>
      <c r="C40" s="10">
        <f>SUMIF(Enrollment_Row!B2:B301,"-",Enrollment_Row!F2:F301)</f>
        <v>1021.44</v>
      </c>
    </row>
    <row r="41" spans="1:26">
      <c r="A41" s="16" t="s">
        <v>441</v>
      </c>
      <c r="B41" s="16"/>
      <c r="C41" s="15">
        <f>SUM(C37:C40)</f>
        <v>280922.69000000006</v>
      </c>
    </row>
    <row r="43" spans="1:26">
      <c r="C43" s="11"/>
    </row>
    <row r="46" spans="1:26">
      <c r="A46" s="16" t="s">
        <v>448</v>
      </c>
      <c r="B46" s="16"/>
      <c r="C46" s="16"/>
      <c r="G46" s="16" t="s">
        <v>450</v>
      </c>
      <c r="H46" s="16"/>
      <c r="I46" s="16"/>
      <c r="L46" s="28" t="s">
        <v>453</v>
      </c>
      <c r="M46" s="28"/>
      <c r="N46" s="28"/>
      <c r="O46" s="28"/>
      <c r="R46" s="28" t="s">
        <v>454</v>
      </c>
      <c r="S46" s="28"/>
      <c r="T46" s="28"/>
      <c r="W46" s="28" t="s">
        <v>459</v>
      </c>
      <c r="X46" s="28"/>
      <c r="Y46" s="28"/>
      <c r="Z46" s="28"/>
    </row>
    <row r="47" spans="1:26">
      <c r="B47" t="s">
        <v>84</v>
      </c>
      <c r="C47" t="s">
        <v>449</v>
      </c>
      <c r="H47" t="s">
        <v>451</v>
      </c>
      <c r="I47" t="s">
        <v>449</v>
      </c>
      <c r="R47">
        <v>1</v>
      </c>
      <c r="S47">
        <v>6</v>
      </c>
      <c r="X47" t="s">
        <v>242</v>
      </c>
      <c r="Y47">
        <v>1</v>
      </c>
      <c r="Z47" t="s">
        <v>92</v>
      </c>
    </row>
    <row r="48" spans="1:26">
      <c r="A48">
        <v>1</v>
      </c>
      <c r="B48" t="s">
        <v>350</v>
      </c>
      <c r="C48" s="10">
        <f>SUMIF(Enrollment_Row!C2:C301,"BA",Enrollment_Row!F2:F301)</f>
        <v>799.37</v>
      </c>
      <c r="H48" t="s">
        <v>107</v>
      </c>
      <c r="I48" s="10">
        <f>SUMIF(Enrollment_Row!G2:G301,"Active",Enrollment_Row!F2:F301)</f>
        <v>160575.33000000007</v>
      </c>
      <c r="L48">
        <v>1</v>
      </c>
      <c r="M48">
        <v>26</v>
      </c>
      <c r="N48">
        <v>2</v>
      </c>
      <c r="R48">
        <v>2</v>
      </c>
      <c r="S48">
        <v>13</v>
      </c>
      <c r="X48" t="s">
        <v>245</v>
      </c>
      <c r="Y48">
        <v>1</v>
      </c>
      <c r="Z48" t="s">
        <v>116</v>
      </c>
    </row>
    <row r="49" spans="1:26">
      <c r="A49">
        <v>2</v>
      </c>
      <c r="B49" t="s">
        <v>97</v>
      </c>
      <c r="C49" s="10">
        <f>SUMIF(Enrollment_Row!C2:C301,"Business Administration",Enrollment_Row!F2:F301)</f>
        <v>35818.130000000005</v>
      </c>
      <c r="H49" t="s">
        <v>148</v>
      </c>
      <c r="I49" s="10">
        <f>SUMIF(Enrollment_Row!G2:G301,"Deferred",Enrollment_Row!F2:F301)</f>
        <v>26444.95</v>
      </c>
      <c r="L49">
        <v>2</v>
      </c>
      <c r="M49">
        <v>52</v>
      </c>
      <c r="N49">
        <v>2</v>
      </c>
      <c r="R49">
        <v>3</v>
      </c>
      <c r="S49">
        <v>55</v>
      </c>
      <c r="X49" t="s">
        <v>236</v>
      </c>
      <c r="Y49">
        <v>1</v>
      </c>
      <c r="Z49" t="s">
        <v>92</v>
      </c>
    </row>
    <row r="50" spans="1:26">
      <c r="A50">
        <v>3</v>
      </c>
      <c r="B50" t="s">
        <v>91</v>
      </c>
      <c r="C50" s="10">
        <f>SUMIF(Enrollment_Row!C2:C301,"Computer Science",Enrollment_Row!F2:F301)</f>
        <v>67508.919999999984</v>
      </c>
      <c r="H50" t="s">
        <v>93</v>
      </c>
      <c r="I50" s="10">
        <f>SUMIF(Enrollment_Row!G2:G301,"Graduated",Enrollment_Row!F2:F301)</f>
        <v>61321.279999999992</v>
      </c>
      <c r="L50">
        <v>3</v>
      </c>
      <c r="M50">
        <v>61</v>
      </c>
      <c r="N50">
        <v>2</v>
      </c>
      <c r="R50">
        <v>4</v>
      </c>
      <c r="S50">
        <v>64</v>
      </c>
      <c r="X50" t="s">
        <v>460</v>
      </c>
      <c r="Y50">
        <v>1</v>
      </c>
      <c r="Z50" t="s">
        <v>116</v>
      </c>
    </row>
    <row r="51" spans="1:26">
      <c r="A51">
        <v>4</v>
      </c>
      <c r="B51" t="s">
        <v>339</v>
      </c>
      <c r="C51" s="10">
        <f>SUMIF(Enrollment_Row!C2:C301,"CS",Enrollment_Row!F2:F301)</f>
        <v>1018</v>
      </c>
      <c r="H51" t="s">
        <v>136</v>
      </c>
      <c r="I51" s="10">
        <f>SUMIF(Enrollment_Row!G2:G301,"N/A",Enrollment_Row!F2:F301)</f>
        <v>1767.9099999999999</v>
      </c>
      <c r="L51">
        <v>4</v>
      </c>
      <c r="M51">
        <v>71</v>
      </c>
      <c r="N51">
        <v>2</v>
      </c>
      <c r="R51">
        <v>5</v>
      </c>
      <c r="S51">
        <v>78</v>
      </c>
      <c r="X51" t="s">
        <v>350</v>
      </c>
      <c r="Y51">
        <v>1</v>
      </c>
      <c r="Z51" t="s">
        <v>97</v>
      </c>
    </row>
    <row r="52" spans="1:26">
      <c r="A52">
        <v>5</v>
      </c>
      <c r="B52" t="s">
        <v>115</v>
      </c>
      <c r="C52" s="10">
        <f>SUMIF(Enrollment_Row!C2:C301,"Data Science",Enrollment_Row!F2:F301)</f>
        <v>65662.73</v>
      </c>
      <c r="H52" t="s">
        <v>104</v>
      </c>
      <c r="I52" s="10">
        <f>SUMIF(Enrollment_Row!G2:G301,"Withdrawn",Enrollment_Row!F2:F301)</f>
        <v>14526.77</v>
      </c>
      <c r="L52">
        <v>5</v>
      </c>
      <c r="M52">
        <v>199</v>
      </c>
      <c r="N52">
        <v>2</v>
      </c>
      <c r="R52">
        <v>6</v>
      </c>
      <c r="S52">
        <v>146</v>
      </c>
      <c r="X52" t="s">
        <v>339</v>
      </c>
      <c r="Y52">
        <v>1</v>
      </c>
      <c r="Z52" t="s">
        <v>91</v>
      </c>
    </row>
    <row r="53" spans="1:26">
      <c r="A53">
        <v>6</v>
      </c>
      <c r="B53" t="s">
        <v>110</v>
      </c>
      <c r="C53" s="10">
        <f>SUMIF(Enrollment_Row!C2:C301,"Economics",Enrollment_Row!F2:F301)</f>
        <v>19402.25</v>
      </c>
      <c r="H53" t="s">
        <v>447</v>
      </c>
      <c r="I53" s="10">
        <f>SUMIF(Enrollment_Row!G2:G301,"",Enrollment_Row!F2:F301)</f>
        <v>16286.450000000004</v>
      </c>
      <c r="L53">
        <v>6</v>
      </c>
      <c r="M53">
        <v>256</v>
      </c>
      <c r="N53">
        <v>2</v>
      </c>
      <c r="R53">
        <v>7</v>
      </c>
      <c r="S53">
        <v>161</v>
      </c>
      <c r="X53" t="s">
        <v>117</v>
      </c>
      <c r="Y53">
        <v>1</v>
      </c>
      <c r="Z53" t="s">
        <v>107</v>
      </c>
    </row>
    <row r="54" spans="1:26">
      <c r="A54">
        <v>7</v>
      </c>
      <c r="B54" t="s">
        <v>101</v>
      </c>
      <c r="C54" s="10">
        <f>SUMIF(Enrollment_Row!C2:C301,"Engineering",Enrollment_Row!F2:F301)</f>
        <v>42936.93</v>
      </c>
      <c r="G54" s="16" t="s">
        <v>441</v>
      </c>
      <c r="H54" s="16"/>
      <c r="I54" s="14">
        <f>SUM(I48:I53)</f>
        <v>280922.69000000012</v>
      </c>
      <c r="L54">
        <v>7</v>
      </c>
      <c r="M54">
        <v>279</v>
      </c>
      <c r="N54">
        <v>2</v>
      </c>
      <c r="R54">
        <v>8</v>
      </c>
      <c r="S54">
        <v>168</v>
      </c>
      <c r="X54" t="s">
        <v>333</v>
      </c>
      <c r="Y54">
        <v>1</v>
      </c>
      <c r="Z54" t="s">
        <v>148</v>
      </c>
    </row>
    <row r="55" spans="1:26">
      <c r="A55">
        <v>8</v>
      </c>
      <c r="B55" t="s">
        <v>95</v>
      </c>
      <c r="C55" s="10">
        <f>SUMIF(Enrollment_Row!C2:C301,"Public Health",Enrollment_Row!F2:F301)</f>
        <v>30457.95</v>
      </c>
      <c r="R55">
        <v>9</v>
      </c>
      <c r="S55">
        <v>198</v>
      </c>
      <c r="X55" t="s">
        <v>227</v>
      </c>
      <c r="Y55">
        <v>1</v>
      </c>
      <c r="Z55" t="s">
        <v>93</v>
      </c>
    </row>
    <row r="56" spans="1:26">
      <c r="A56">
        <v>9</v>
      </c>
      <c r="B56" t="s">
        <v>175</v>
      </c>
      <c r="C56" s="10">
        <f>SUMIF(Enrollment_Row!C2:C301,"NULL",Enrollment_Row!F2:F301)</f>
        <v>936.29</v>
      </c>
      <c r="R56">
        <v>10</v>
      </c>
      <c r="S56">
        <v>236</v>
      </c>
    </row>
    <row r="57" spans="1:26">
      <c r="A57">
        <v>10</v>
      </c>
      <c r="B57" t="s">
        <v>323</v>
      </c>
      <c r="C57" s="10">
        <f>SUMIF(Enrollment_Row!C2:C301,"Unknown",Enrollment_Row!F2:F301)</f>
        <v>738.48</v>
      </c>
      <c r="R57">
        <v>11</v>
      </c>
      <c r="S57">
        <v>269</v>
      </c>
    </row>
    <row r="58" spans="1:26">
      <c r="A58">
        <v>11</v>
      </c>
      <c r="B58" t="s">
        <v>438</v>
      </c>
      <c r="C58" s="10">
        <f>SUMIF(Enrollment_Row!C2:C301,"",Enrollment_Row!F2:F301)</f>
        <v>15643.639999999998</v>
      </c>
      <c r="R58">
        <v>12</v>
      </c>
      <c r="S58">
        <v>277</v>
      </c>
    </row>
    <row r="59" spans="1:26">
      <c r="A59" s="16" t="s">
        <v>441</v>
      </c>
      <c r="B59" s="16"/>
      <c r="C59" s="14">
        <f>SUM(C48:C58)</f>
        <v>280922.68999999994</v>
      </c>
      <c r="R59">
        <v>13</v>
      </c>
      <c r="S59">
        <v>283</v>
      </c>
    </row>
    <row r="65" spans="1:3">
      <c r="A65" s="16" t="s">
        <v>452</v>
      </c>
      <c r="B65" s="16"/>
      <c r="C65" s="16"/>
    </row>
    <row r="66" spans="1:3">
      <c r="B66" t="s">
        <v>404</v>
      </c>
      <c r="C66" t="s">
        <v>449</v>
      </c>
    </row>
    <row r="67" spans="1:3">
      <c r="B67" t="s">
        <v>92</v>
      </c>
      <c r="C67" s="12">
        <f>SUMIF(Enrollment_Row!E2:E301,"Full-Time",Enrollment_Row!F2:F301)</f>
        <v>154294.34000000003</v>
      </c>
    </row>
    <row r="68" spans="1:3">
      <c r="B68" t="s">
        <v>116</v>
      </c>
      <c r="C68" s="12">
        <f>SUMIF(Enrollment_Row!E2:E301,"Part-Time",Enrollment_Row!F2:F301)</f>
        <v>56114.069999999985</v>
      </c>
    </row>
    <row r="69" spans="1:3">
      <c r="B69" t="s">
        <v>102</v>
      </c>
      <c r="C69" s="12">
        <f>SUMIF(Enrollment_Row!E2:E301,"Online",Enrollment_Row!F2:F301)</f>
        <v>52538.499999999993</v>
      </c>
    </row>
    <row r="70" spans="1:3">
      <c r="B70" t="s">
        <v>136</v>
      </c>
      <c r="C70" s="12">
        <f>SUMIF(Enrollment_Row!E2:E301,"N/A",Enrollment_Row!F2:F301)</f>
        <v>2105.08</v>
      </c>
    </row>
    <row r="71" spans="1:3">
      <c r="B71" t="s">
        <v>175</v>
      </c>
      <c r="C71" s="12">
        <f>SUMIF(Enrollment_Row!E2:E301,"NULL",Enrollment_Row!F2:F301)</f>
        <v>1660.29</v>
      </c>
    </row>
    <row r="72" spans="1:3">
      <c r="B72" t="s">
        <v>443</v>
      </c>
      <c r="C72" s="12">
        <f>SUMIF(Enrollment_Row!E2:E301,"",Enrollment_Row!F2:F301)</f>
        <v>14210.41</v>
      </c>
    </row>
    <row r="73" spans="1:3">
      <c r="A73" s="16" t="s">
        <v>441</v>
      </c>
      <c r="B73" s="16"/>
      <c r="C73" s="13">
        <f>SUM(C67:C72)</f>
        <v>280922.68999999994</v>
      </c>
    </row>
  </sheetData>
  <mergeCells count="23">
    <mergeCell ref="L46:O46"/>
    <mergeCell ref="R46:T46"/>
    <mergeCell ref="W46:Z46"/>
    <mergeCell ref="Q23:S23"/>
    <mergeCell ref="Q30:R30"/>
    <mergeCell ref="A1:C2"/>
    <mergeCell ref="A10:B10"/>
    <mergeCell ref="G1:J2"/>
    <mergeCell ref="H11:J11"/>
    <mergeCell ref="A23:C23"/>
    <mergeCell ref="G23:I23"/>
    <mergeCell ref="A29:B29"/>
    <mergeCell ref="G35:H35"/>
    <mergeCell ref="L23:N23"/>
    <mergeCell ref="L30:M30"/>
    <mergeCell ref="A36:C36"/>
    <mergeCell ref="A73:B73"/>
    <mergeCell ref="A41:B41"/>
    <mergeCell ref="A46:C46"/>
    <mergeCell ref="G46:I46"/>
    <mergeCell ref="A59:B59"/>
    <mergeCell ref="G54:H54"/>
    <mergeCell ref="A65:C6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Project_Index</vt:lpstr>
      <vt:lpstr>Dashboard</vt:lpstr>
      <vt:lpstr>PivotGender</vt:lpstr>
      <vt:lpstr>PivotProgram</vt:lpstr>
      <vt:lpstr>PivotEnrollment_status</vt:lpstr>
      <vt:lpstr>PivotTuitionByProgram</vt:lpstr>
      <vt:lpstr>PivotStady_mode</vt:lpstr>
      <vt:lpstr>PivotEnrollment_date</vt:lpstr>
      <vt:lpstr>PivotErollment_status</vt:lpstr>
      <vt:lpstr>Sheet22</vt:lpstr>
      <vt:lpstr>PivotTuitionByStudy_mode</vt:lpstr>
      <vt:lpstr>Sheet29</vt:lpstr>
      <vt:lpstr>DASHBOARD2</vt:lpstr>
      <vt:lpstr>Sheet31</vt:lpstr>
      <vt:lpstr>Study_mode</vt:lpstr>
      <vt:lpstr>Avaregetuition</vt:lpstr>
      <vt:lpstr>Data_clean</vt:lpstr>
      <vt:lpstr>Enrollment_Row</vt:lpstr>
      <vt:lpstr>Analaysi_data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2026-08-17T19:19:48Z</dcterms:created>
  <dcterms:modified xsi:type="dcterms:W3CDTF">2026-08-25T09:03:33Z</dcterms:modified>
</cp:coreProperties>
</file>